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7.동국씨엠 PI\00.Project management\WBS\"/>
    </mc:Choice>
  </mc:AlternateContent>
  <bookViews>
    <workbookView xWindow="0" yWindow="-120" windowWidth="23040" windowHeight="9240"/>
  </bookViews>
  <sheets>
    <sheet name="WBS" sheetId="5" r:id="rId1"/>
    <sheet name="Holiday" sheetId="8" r:id="rId2"/>
  </sheets>
  <definedNames>
    <definedName name="_xlnm._FilterDatabase" localSheetId="0" hidden="1">WBS!#REF!</definedName>
    <definedName name="_xlnm.Print_Area" localSheetId="0">WBS!$A$1:$CT$28</definedName>
    <definedName name="_xlnm.Print_Titles" localSheetId="0">WBS!$1:$3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" i="5" l="1"/>
  <c r="O26" i="5"/>
  <c r="O62" i="5" l="1"/>
  <c r="O61" i="5"/>
  <c r="O60" i="5"/>
  <c r="O59" i="5"/>
  <c r="O57" i="5"/>
  <c r="O56" i="5"/>
  <c r="O55" i="5"/>
  <c r="O29" i="5"/>
  <c r="O12" i="5"/>
  <c r="O66" i="5"/>
  <c r="O65" i="5"/>
  <c r="O70" i="5"/>
  <c r="O69" i="5"/>
  <c r="O68" i="5"/>
  <c r="O39" i="5"/>
  <c r="O38" i="5"/>
  <c r="O37" i="5"/>
  <c r="O36" i="5"/>
  <c r="O35" i="5"/>
  <c r="O4" i="5"/>
  <c r="O17" i="5"/>
  <c r="O16" i="5"/>
  <c r="O14" i="5" s="1"/>
  <c r="O15" i="5"/>
  <c r="O21" i="5"/>
  <c r="O20" i="5"/>
  <c r="O19" i="5" s="1"/>
  <c r="O23" i="5"/>
  <c r="O22" i="5" s="1"/>
  <c r="O27" i="5"/>
  <c r="O25" i="5"/>
  <c r="O18" i="5"/>
  <c r="O54" i="5"/>
  <c r="O48" i="5"/>
  <c r="O45" i="5"/>
  <c r="O31" i="5"/>
  <c r="O40" i="5"/>
  <c r="O51" i="5"/>
  <c r="O52" i="5"/>
  <c r="O50" i="5"/>
  <c r="O49" i="5"/>
  <c r="O44" i="5"/>
  <c r="O43" i="5"/>
  <c r="O42" i="5"/>
  <c r="O47" i="5"/>
  <c r="O41" i="5"/>
  <c r="O46" i="5"/>
  <c r="O33" i="5"/>
  <c r="O32" i="5"/>
  <c r="O24" i="5"/>
  <c r="O8" i="5"/>
  <c r="O5" i="5"/>
  <c r="O11" i="5"/>
  <c r="O10" i="5"/>
  <c r="O9" i="5"/>
  <c r="O7" i="5"/>
  <c r="O6" i="5"/>
  <c r="O58" i="5" l="1"/>
  <c r="O53" i="5" s="1"/>
  <c r="O34" i="5"/>
  <c r="O30" i="5" s="1"/>
  <c r="O67" i="5"/>
  <c r="O64" i="5"/>
  <c r="O63" i="5"/>
  <c r="O13" i="5"/>
  <c r="O72" i="5" l="1"/>
  <c r="EX27" i="5" l="1"/>
  <c r="ES27" i="5"/>
  <c r="ET27" i="5" s="1"/>
  <c r="EU27" i="5" s="1"/>
  <c r="EV27" i="5" s="1"/>
  <c r="EW27" i="5" s="1"/>
  <c r="EN27" i="5"/>
  <c r="EO27" i="5" s="1"/>
  <c r="EP27" i="5" s="1"/>
  <c r="EQ27" i="5" s="1"/>
  <c r="ER27" i="5" s="1"/>
  <c r="EI27" i="5"/>
  <c r="EJ27" i="5" s="1"/>
  <c r="EK27" i="5" s="1"/>
  <c r="EL27" i="5" s="1"/>
  <c r="EM27" i="5" s="1"/>
  <c r="ED27" i="5"/>
  <c r="EE27" i="5" s="1"/>
  <c r="EF27" i="5" s="1"/>
  <c r="EG27" i="5" s="1"/>
  <c r="EH27" i="5" s="1"/>
  <c r="DY27" i="5"/>
  <c r="DZ27" i="5" s="1"/>
  <c r="EA27" i="5" s="1"/>
  <c r="EB27" i="5" s="1"/>
  <c r="EC27" i="5" s="1"/>
  <c r="DT27" i="5"/>
  <c r="DU27" i="5" s="1"/>
  <c r="DV27" i="5" s="1"/>
  <c r="DW27" i="5" s="1"/>
  <c r="DX27" i="5" s="1"/>
  <c r="DO27" i="5"/>
  <c r="DP27" i="5" s="1"/>
  <c r="DQ27" i="5" s="1"/>
  <c r="DR27" i="5" s="1"/>
  <c r="DS27" i="5" s="1"/>
  <c r="DJ27" i="5"/>
  <c r="DK27" i="5" s="1"/>
  <c r="DL27" i="5" s="1"/>
  <c r="DM27" i="5" s="1"/>
  <c r="DN27" i="5" s="1"/>
  <c r="DE27" i="5"/>
  <c r="DF27" i="5" s="1"/>
  <c r="DG27" i="5" s="1"/>
  <c r="DH27" i="5" s="1"/>
  <c r="DI27" i="5" s="1"/>
  <c r="CZ27" i="5"/>
  <c r="DA27" i="5" s="1"/>
  <c r="DB27" i="5" s="1"/>
  <c r="DC27" i="5" s="1"/>
  <c r="DD27" i="5" s="1"/>
  <c r="CU27" i="5"/>
  <c r="CV27" i="5" s="1"/>
  <c r="CW27" i="5" s="1"/>
  <c r="CX27" i="5" s="1"/>
  <c r="CY27" i="5" s="1"/>
  <c r="CQ27" i="5"/>
  <c r="CR27" i="5" s="1"/>
  <c r="CS27" i="5" s="1"/>
  <c r="CT27" i="5" s="1"/>
  <c r="CP27" i="5"/>
  <c r="CK27" i="5"/>
  <c r="CL27" i="5" s="1"/>
  <c r="CM27" i="5" s="1"/>
  <c r="CN27" i="5" s="1"/>
  <c r="CO27" i="5" s="1"/>
  <c r="S27" i="5"/>
  <c r="T27" i="5" s="1"/>
  <c r="U27" i="5" s="1"/>
  <c r="V27" i="5" s="1"/>
  <c r="W27" i="5" s="1"/>
  <c r="S62" i="5" l="1"/>
  <c r="T62" i="5" s="1"/>
  <c r="U62" i="5" s="1"/>
  <c r="V62" i="5" s="1"/>
  <c r="W62" i="5" s="1"/>
  <c r="S61" i="5"/>
  <c r="T61" i="5" s="1"/>
  <c r="U61" i="5" s="1"/>
  <c r="V61" i="5" s="1"/>
  <c r="W61" i="5" s="1"/>
  <c r="S60" i="5"/>
  <c r="T60" i="5" s="1"/>
  <c r="U60" i="5" s="1"/>
  <c r="V60" i="5" s="1"/>
  <c r="W60" i="5" s="1"/>
  <c r="S59" i="5"/>
  <c r="T59" i="5" s="1"/>
  <c r="U59" i="5" s="1"/>
  <c r="V59" i="5" s="1"/>
  <c r="W59" i="5" s="1"/>
  <c r="FB58" i="5"/>
  <c r="FA58" i="5"/>
  <c r="FB59" i="5" s="1"/>
  <c r="EZ58" i="5"/>
  <c r="FA59" i="5" s="1"/>
  <c r="FB61" i="5" s="1"/>
  <c r="EY58" i="5"/>
  <c r="EZ59" i="5" s="1"/>
  <c r="FA61" i="5" s="1"/>
  <c r="FB62" i="5" s="1"/>
  <c r="S58" i="5"/>
  <c r="T58" i="5" s="1"/>
  <c r="U58" i="5" s="1"/>
  <c r="V58" i="5" s="1"/>
  <c r="W58" i="5" s="1"/>
  <c r="N58" i="5"/>
  <c r="M58" i="5"/>
  <c r="S57" i="5"/>
  <c r="T57" i="5" s="1"/>
  <c r="U57" i="5" s="1"/>
  <c r="V57" i="5" s="1"/>
  <c r="W57" i="5" s="1"/>
  <c r="S56" i="5"/>
  <c r="T56" i="5" s="1"/>
  <c r="U56" i="5" s="1"/>
  <c r="V56" i="5" s="1"/>
  <c r="W56" i="5" s="1"/>
  <c r="S55" i="5"/>
  <c r="T55" i="5" s="1"/>
  <c r="U55" i="5" s="1"/>
  <c r="V55" i="5" s="1"/>
  <c r="W55" i="5" s="1"/>
  <c r="S54" i="5"/>
  <c r="T54" i="5" s="1"/>
  <c r="U54" i="5" s="1"/>
  <c r="V54" i="5" s="1"/>
  <c r="W54" i="5" s="1"/>
  <c r="N54" i="5"/>
  <c r="M54" i="5"/>
  <c r="FB53" i="5"/>
  <c r="FA53" i="5"/>
  <c r="FB54" i="5" s="1"/>
  <c r="EZ53" i="5"/>
  <c r="FA54" i="5" s="1"/>
  <c r="FB55" i="5" s="1"/>
  <c r="EY53" i="5"/>
  <c r="EZ54" i="5" s="1"/>
  <c r="FA55" i="5" s="1"/>
  <c r="FB56" i="5" s="1"/>
  <c r="S53" i="5"/>
  <c r="T53" i="5" s="1"/>
  <c r="U53" i="5" s="1"/>
  <c r="V53" i="5" s="1"/>
  <c r="W53" i="5" s="1"/>
  <c r="N53" i="5" l="1"/>
  <c r="EZ60" i="5"/>
  <c r="M53" i="5"/>
  <c r="FB60" i="5"/>
  <c r="FA60" i="5"/>
  <c r="S47" i="5"/>
  <c r="T47" i="5" s="1"/>
  <c r="U47" i="5" s="1"/>
  <c r="V47" i="5" s="1"/>
  <c r="W47" i="5" s="1"/>
  <c r="S46" i="5"/>
  <c r="T46" i="5" s="1"/>
  <c r="U46" i="5" s="1"/>
  <c r="V46" i="5" s="1"/>
  <c r="W46" i="5" s="1"/>
  <c r="S45" i="5"/>
  <c r="T45" i="5" s="1"/>
  <c r="U45" i="5" s="1"/>
  <c r="V45" i="5" s="1"/>
  <c r="W45" i="5" s="1"/>
  <c r="N45" i="5"/>
  <c r="M45" i="5"/>
  <c r="S51" i="5"/>
  <c r="T51" i="5" s="1"/>
  <c r="U51" i="5" s="1"/>
  <c r="V51" i="5" s="1"/>
  <c r="W51" i="5" s="1"/>
  <c r="S50" i="5"/>
  <c r="T50" i="5" s="1"/>
  <c r="U50" i="5" s="1"/>
  <c r="V50" i="5" s="1"/>
  <c r="W50" i="5" s="1"/>
  <c r="S43" i="5"/>
  <c r="T43" i="5" s="1"/>
  <c r="U43" i="5" s="1"/>
  <c r="V43" i="5" s="1"/>
  <c r="W43" i="5" s="1"/>
  <c r="S42" i="5"/>
  <c r="T42" i="5" s="1"/>
  <c r="U42" i="5" s="1"/>
  <c r="V42" i="5" s="1"/>
  <c r="W42" i="5" s="1"/>
  <c r="S28" i="5"/>
  <c r="T28" i="5" s="1"/>
  <c r="U28" i="5" s="1"/>
  <c r="V28" i="5" s="1"/>
  <c r="W28" i="5" s="1"/>
  <c r="S26" i="5"/>
  <c r="T26" i="5" s="1"/>
  <c r="U26" i="5" s="1"/>
  <c r="V26" i="5" s="1"/>
  <c r="W26" i="5" s="1"/>
  <c r="S69" i="5"/>
  <c r="T69" i="5" s="1"/>
  <c r="U69" i="5" s="1"/>
  <c r="V69" i="5" s="1"/>
  <c r="W69" i="5" s="1"/>
  <c r="S29" i="5"/>
  <c r="T29" i="5" s="1"/>
  <c r="U29" i="5" s="1"/>
  <c r="V29" i="5" s="1"/>
  <c r="W29" i="5" s="1"/>
  <c r="S38" i="5"/>
  <c r="T38" i="5" s="1"/>
  <c r="U38" i="5" s="1"/>
  <c r="V38" i="5" s="1"/>
  <c r="W38" i="5" s="1"/>
  <c r="S37" i="5"/>
  <c r="T37" i="5" s="1"/>
  <c r="U37" i="5" s="1"/>
  <c r="V37" i="5" s="1"/>
  <c r="W37" i="5" s="1"/>
  <c r="S36" i="5"/>
  <c r="T36" i="5" s="1"/>
  <c r="U36" i="5" s="1"/>
  <c r="V36" i="5" s="1"/>
  <c r="W36" i="5" s="1"/>
  <c r="S23" i="5"/>
  <c r="T23" i="5" s="1"/>
  <c r="U23" i="5" s="1"/>
  <c r="V23" i="5" s="1"/>
  <c r="W23" i="5" s="1"/>
  <c r="S22" i="5"/>
  <c r="T22" i="5" s="1"/>
  <c r="U22" i="5" s="1"/>
  <c r="V22" i="5" s="1"/>
  <c r="W22" i="5" s="1"/>
  <c r="N22" i="5"/>
  <c r="M22" i="5"/>
  <c r="S17" i="5" l="1"/>
  <c r="T17" i="5" s="1"/>
  <c r="U17" i="5" s="1"/>
  <c r="V17" i="5" s="1"/>
  <c r="W17" i="5" s="1"/>
  <c r="S16" i="5"/>
  <c r="T16" i="5" s="1"/>
  <c r="U16" i="5" s="1"/>
  <c r="V16" i="5" s="1"/>
  <c r="W16" i="5" s="1"/>
  <c r="S4" i="5"/>
  <c r="T4" i="5" s="1"/>
  <c r="U4" i="5" s="1"/>
  <c r="V4" i="5" s="1"/>
  <c r="W4" i="5" s="1"/>
  <c r="N8" i="5"/>
  <c r="M8" i="5"/>
  <c r="S11" i="5"/>
  <c r="T11" i="5" s="1"/>
  <c r="U11" i="5" s="1"/>
  <c r="V11" i="5" s="1"/>
  <c r="W11" i="5" s="1"/>
  <c r="S12" i="5"/>
  <c r="T12" i="5" s="1"/>
  <c r="U12" i="5" s="1"/>
  <c r="V12" i="5" s="1"/>
  <c r="W12" i="5" s="1"/>
  <c r="N5" i="5"/>
  <c r="M5" i="5"/>
  <c r="S10" i="5"/>
  <c r="T10" i="5" s="1"/>
  <c r="U10" i="5" s="1"/>
  <c r="V10" i="5" s="1"/>
  <c r="W10" i="5" s="1"/>
  <c r="S9" i="5"/>
  <c r="T9" i="5" s="1"/>
  <c r="U9" i="5" s="1"/>
  <c r="V9" i="5" s="1"/>
  <c r="W9" i="5" s="1"/>
  <c r="S8" i="5"/>
  <c r="T8" i="5" s="1"/>
  <c r="U8" i="5" s="1"/>
  <c r="V8" i="5" s="1"/>
  <c r="W8" i="5" s="1"/>
  <c r="S70" i="5"/>
  <c r="T70" i="5" s="1"/>
  <c r="U70" i="5" s="1"/>
  <c r="V70" i="5" s="1"/>
  <c r="W70" i="5" s="1"/>
  <c r="S68" i="5"/>
  <c r="T68" i="5" s="1"/>
  <c r="U68" i="5" s="1"/>
  <c r="V68" i="5" s="1"/>
  <c r="W68" i="5" s="1"/>
  <c r="S67" i="5"/>
  <c r="T67" i="5" s="1"/>
  <c r="U67" i="5" s="1"/>
  <c r="V67" i="5" s="1"/>
  <c r="W67" i="5" s="1"/>
  <c r="S66" i="5"/>
  <c r="T66" i="5" s="1"/>
  <c r="U66" i="5" s="1"/>
  <c r="V66" i="5" s="1"/>
  <c r="W66" i="5" s="1"/>
  <c r="S65" i="5"/>
  <c r="T65" i="5" s="1"/>
  <c r="U65" i="5" s="1"/>
  <c r="V65" i="5" s="1"/>
  <c r="W65" i="5" s="1"/>
  <c r="S64" i="5"/>
  <c r="T64" i="5" s="1"/>
  <c r="U64" i="5" s="1"/>
  <c r="V64" i="5" s="1"/>
  <c r="W64" i="5" s="1"/>
  <c r="S63" i="5"/>
  <c r="T63" i="5" s="1"/>
  <c r="U63" i="5" s="1"/>
  <c r="V63" i="5" s="1"/>
  <c r="W63" i="5" s="1"/>
  <c r="S52" i="5"/>
  <c r="T52" i="5" s="1"/>
  <c r="U52" i="5" s="1"/>
  <c r="V52" i="5" s="1"/>
  <c r="W52" i="5" s="1"/>
  <c r="S49" i="5"/>
  <c r="T49" i="5" s="1"/>
  <c r="U49" i="5" s="1"/>
  <c r="V49" i="5" s="1"/>
  <c r="W49" i="5" s="1"/>
  <c r="S48" i="5"/>
  <c r="T48" i="5" s="1"/>
  <c r="U48" i="5" s="1"/>
  <c r="V48" i="5" s="1"/>
  <c r="W48" i="5" s="1"/>
  <c r="S44" i="5"/>
  <c r="T44" i="5" s="1"/>
  <c r="U44" i="5" s="1"/>
  <c r="V44" i="5" s="1"/>
  <c r="W44" i="5" s="1"/>
  <c r="S41" i="5"/>
  <c r="T41" i="5" s="1"/>
  <c r="U41" i="5" s="1"/>
  <c r="V41" i="5" s="1"/>
  <c r="W41" i="5" s="1"/>
  <c r="S40" i="5"/>
  <c r="T40" i="5" s="1"/>
  <c r="U40" i="5" s="1"/>
  <c r="V40" i="5" s="1"/>
  <c r="W40" i="5" s="1"/>
  <c r="S39" i="5"/>
  <c r="T39" i="5" s="1"/>
  <c r="U39" i="5" s="1"/>
  <c r="V39" i="5" s="1"/>
  <c r="W39" i="5" s="1"/>
  <c r="S35" i="5"/>
  <c r="T35" i="5" s="1"/>
  <c r="U35" i="5" s="1"/>
  <c r="V35" i="5" s="1"/>
  <c r="W35" i="5" s="1"/>
  <c r="S34" i="5"/>
  <c r="T34" i="5" s="1"/>
  <c r="U34" i="5" s="1"/>
  <c r="V34" i="5" s="1"/>
  <c r="W34" i="5" s="1"/>
  <c r="S33" i="5"/>
  <c r="T33" i="5" s="1"/>
  <c r="U33" i="5" s="1"/>
  <c r="V33" i="5" s="1"/>
  <c r="W33" i="5" s="1"/>
  <c r="S32" i="5"/>
  <c r="T32" i="5" s="1"/>
  <c r="U32" i="5" s="1"/>
  <c r="V32" i="5" s="1"/>
  <c r="W32" i="5" s="1"/>
  <c r="S31" i="5"/>
  <c r="T31" i="5" s="1"/>
  <c r="U31" i="5" s="1"/>
  <c r="V31" i="5" s="1"/>
  <c r="W31" i="5" s="1"/>
  <c r="S30" i="5"/>
  <c r="T30" i="5" s="1"/>
  <c r="U30" i="5" s="1"/>
  <c r="V30" i="5" s="1"/>
  <c r="W30" i="5" s="1"/>
  <c r="S25" i="5"/>
  <c r="T25" i="5" s="1"/>
  <c r="U25" i="5" s="1"/>
  <c r="V25" i="5" s="1"/>
  <c r="W25" i="5" s="1"/>
  <c r="S24" i="5"/>
  <c r="T24" i="5" s="1"/>
  <c r="U24" i="5" s="1"/>
  <c r="V24" i="5" s="1"/>
  <c r="W24" i="5" s="1"/>
  <c r="S21" i="5"/>
  <c r="T21" i="5" s="1"/>
  <c r="U21" i="5" s="1"/>
  <c r="V21" i="5" s="1"/>
  <c r="W21" i="5" s="1"/>
  <c r="S20" i="5"/>
  <c r="T20" i="5" s="1"/>
  <c r="U20" i="5" s="1"/>
  <c r="V20" i="5" s="1"/>
  <c r="W20" i="5" s="1"/>
  <c r="S19" i="5"/>
  <c r="T19" i="5" s="1"/>
  <c r="U19" i="5" s="1"/>
  <c r="V19" i="5" s="1"/>
  <c r="W19" i="5" s="1"/>
  <c r="S18" i="5"/>
  <c r="T18" i="5" s="1"/>
  <c r="U18" i="5" s="1"/>
  <c r="V18" i="5" s="1"/>
  <c r="W18" i="5" s="1"/>
  <c r="S15" i="5"/>
  <c r="T15" i="5" s="1"/>
  <c r="U15" i="5" s="1"/>
  <c r="V15" i="5" s="1"/>
  <c r="W15" i="5" s="1"/>
  <c r="S14" i="5"/>
  <c r="T14" i="5" s="1"/>
  <c r="U14" i="5" s="1"/>
  <c r="V14" i="5" s="1"/>
  <c r="W14" i="5" s="1"/>
  <c r="S13" i="5"/>
  <c r="T13" i="5" s="1"/>
  <c r="U13" i="5" s="1"/>
  <c r="V13" i="5" s="1"/>
  <c r="W13" i="5" s="1"/>
  <c r="S7" i="5"/>
  <c r="T7" i="5" s="1"/>
  <c r="U7" i="5" s="1"/>
  <c r="V7" i="5" s="1"/>
  <c r="W7" i="5" s="1"/>
  <c r="S6" i="5"/>
  <c r="T6" i="5" s="1"/>
  <c r="U6" i="5" s="1"/>
  <c r="V6" i="5" s="1"/>
  <c r="W6" i="5" s="1"/>
  <c r="S5" i="5"/>
  <c r="T5" i="5" s="1"/>
  <c r="U5" i="5" s="1"/>
  <c r="V5" i="5" s="1"/>
  <c r="W5" i="5" s="1"/>
  <c r="X3" i="5"/>
  <c r="AC3" i="5" s="1"/>
  <c r="AH3" i="5" s="1"/>
  <c r="AM3" i="5" s="1"/>
  <c r="FB4" i="5"/>
  <c r="FA4" i="5"/>
  <c r="FB5" i="5" s="1"/>
  <c r="EZ4" i="5"/>
  <c r="FA5" i="5" s="1"/>
  <c r="FB6" i="5" s="1"/>
  <c r="N67" i="5" l="1"/>
  <c r="M67" i="5"/>
  <c r="N64" i="5"/>
  <c r="M64" i="5"/>
  <c r="N48" i="5"/>
  <c r="M48" i="5"/>
  <c r="N40" i="5"/>
  <c r="M40" i="5"/>
  <c r="N34" i="5"/>
  <c r="M34" i="5"/>
  <c r="N31" i="5"/>
  <c r="M31" i="5"/>
  <c r="N14" i="5"/>
  <c r="M14" i="5"/>
  <c r="M63" i="5" l="1"/>
  <c r="M30" i="5"/>
  <c r="N30" i="5"/>
  <c r="N63" i="5"/>
  <c r="N24" i="5"/>
  <c r="M24" i="5"/>
  <c r="N19" i="5"/>
  <c r="M19" i="5"/>
  <c r="N4" i="5"/>
  <c r="M4" i="5"/>
  <c r="M13" i="5" l="1"/>
  <c r="N13" i="5"/>
  <c r="AR3" i="5" l="1"/>
  <c r="AW3" i="5" s="1"/>
  <c r="BB3" i="5" l="1"/>
  <c r="BG3" i="5" s="1"/>
  <c r="BL3" i="5" s="1"/>
  <c r="BQ3" i="5" s="1"/>
  <c r="BV3" i="5" l="1"/>
  <c r="CA3" i="5" s="1"/>
  <c r="CF3" i="5" s="1"/>
  <c r="CK3" i="5" s="1"/>
  <c r="CK59" i="5" l="1"/>
  <c r="CL59" i="5" s="1"/>
  <c r="CM59" i="5" s="1"/>
  <c r="CN59" i="5" s="1"/>
  <c r="CO59" i="5" s="1"/>
  <c r="CK62" i="5"/>
  <c r="CL62" i="5" s="1"/>
  <c r="CM62" i="5" s="1"/>
  <c r="CN62" i="5" s="1"/>
  <c r="CO62" i="5" s="1"/>
  <c r="CK58" i="5"/>
  <c r="CL58" i="5" s="1"/>
  <c r="CM58" i="5" s="1"/>
  <c r="CN58" i="5" s="1"/>
  <c r="CO58" i="5" s="1"/>
  <c r="CK55" i="5"/>
  <c r="CL55" i="5" s="1"/>
  <c r="CM55" i="5" s="1"/>
  <c r="CN55" i="5" s="1"/>
  <c r="CO55" i="5" s="1"/>
  <c r="CK53" i="5"/>
  <c r="CL53" i="5" s="1"/>
  <c r="CM53" i="5" s="1"/>
  <c r="CN53" i="5" s="1"/>
  <c r="CO53" i="5" s="1"/>
  <c r="CK61" i="5"/>
  <c r="CL61" i="5" s="1"/>
  <c r="CM61" i="5" s="1"/>
  <c r="CN61" i="5" s="1"/>
  <c r="CO61" i="5" s="1"/>
  <c r="CK54" i="5"/>
  <c r="CL54" i="5" s="1"/>
  <c r="CM54" i="5" s="1"/>
  <c r="CN54" i="5" s="1"/>
  <c r="CO54" i="5" s="1"/>
  <c r="CK56" i="5"/>
  <c r="CL56" i="5" s="1"/>
  <c r="CM56" i="5" s="1"/>
  <c r="CN56" i="5" s="1"/>
  <c r="CO56" i="5" s="1"/>
  <c r="CK57" i="5"/>
  <c r="CL57" i="5" s="1"/>
  <c r="CM57" i="5" s="1"/>
  <c r="CN57" i="5" s="1"/>
  <c r="CO57" i="5" s="1"/>
  <c r="CK60" i="5"/>
  <c r="CL60" i="5" s="1"/>
  <c r="CM60" i="5" s="1"/>
  <c r="CN60" i="5" s="1"/>
  <c r="CO60" i="5" s="1"/>
  <c r="CK69" i="5"/>
  <c r="CL69" i="5" s="1"/>
  <c r="CM69" i="5" s="1"/>
  <c r="CN69" i="5" s="1"/>
  <c r="CO69" i="5" s="1"/>
  <c r="CK26" i="5"/>
  <c r="CL26" i="5" s="1"/>
  <c r="CM26" i="5" s="1"/>
  <c r="CN26" i="5" s="1"/>
  <c r="CO26" i="5" s="1"/>
  <c r="CK50" i="5"/>
  <c r="CL50" i="5" s="1"/>
  <c r="CM50" i="5" s="1"/>
  <c r="CN50" i="5" s="1"/>
  <c r="CO50" i="5" s="1"/>
  <c r="CK28" i="5"/>
  <c r="CL28" i="5" s="1"/>
  <c r="CM28" i="5" s="1"/>
  <c r="CN28" i="5" s="1"/>
  <c r="CO28" i="5" s="1"/>
  <c r="CK47" i="5"/>
  <c r="CL47" i="5" s="1"/>
  <c r="CM47" i="5" s="1"/>
  <c r="CN47" i="5" s="1"/>
  <c r="CO47" i="5" s="1"/>
  <c r="CK46" i="5"/>
  <c r="CL46" i="5" s="1"/>
  <c r="CM46" i="5" s="1"/>
  <c r="CN46" i="5" s="1"/>
  <c r="CO46" i="5" s="1"/>
  <c r="CK42" i="5"/>
  <c r="CL42" i="5" s="1"/>
  <c r="CM42" i="5" s="1"/>
  <c r="CN42" i="5" s="1"/>
  <c r="CO42" i="5" s="1"/>
  <c r="CK45" i="5"/>
  <c r="CL45" i="5" s="1"/>
  <c r="CM45" i="5" s="1"/>
  <c r="CN45" i="5" s="1"/>
  <c r="CO45" i="5" s="1"/>
  <c r="CK43" i="5"/>
  <c r="CL43" i="5" s="1"/>
  <c r="CM43" i="5" s="1"/>
  <c r="CN43" i="5" s="1"/>
  <c r="CO43" i="5" s="1"/>
  <c r="CK51" i="5"/>
  <c r="CL51" i="5" s="1"/>
  <c r="CM51" i="5" s="1"/>
  <c r="CN51" i="5" s="1"/>
  <c r="CO51" i="5" s="1"/>
  <c r="CK37" i="5"/>
  <c r="CL37" i="5" s="1"/>
  <c r="CM37" i="5" s="1"/>
  <c r="CN37" i="5" s="1"/>
  <c r="CO37" i="5" s="1"/>
  <c r="CK38" i="5"/>
  <c r="CL38" i="5" s="1"/>
  <c r="CM38" i="5" s="1"/>
  <c r="CN38" i="5" s="1"/>
  <c r="CO38" i="5" s="1"/>
  <c r="CK29" i="5"/>
  <c r="CL29" i="5" s="1"/>
  <c r="CM29" i="5" s="1"/>
  <c r="CN29" i="5" s="1"/>
  <c r="CO29" i="5" s="1"/>
  <c r="CK22" i="5"/>
  <c r="CL22" i="5" s="1"/>
  <c r="CM22" i="5" s="1"/>
  <c r="CN22" i="5" s="1"/>
  <c r="CO22" i="5" s="1"/>
  <c r="CK36" i="5"/>
  <c r="CL36" i="5" s="1"/>
  <c r="CM36" i="5" s="1"/>
  <c r="CN36" i="5" s="1"/>
  <c r="CO36" i="5" s="1"/>
  <c r="CK23" i="5"/>
  <c r="CL23" i="5" s="1"/>
  <c r="CM23" i="5" s="1"/>
  <c r="CN23" i="5" s="1"/>
  <c r="CO23" i="5" s="1"/>
  <c r="CK16" i="5"/>
  <c r="CL16" i="5" s="1"/>
  <c r="CM16" i="5" s="1"/>
  <c r="CN16" i="5" s="1"/>
  <c r="CO16" i="5" s="1"/>
  <c r="CK17" i="5"/>
  <c r="CL17" i="5" s="1"/>
  <c r="CM17" i="5" s="1"/>
  <c r="CN17" i="5" s="1"/>
  <c r="CO17" i="5" s="1"/>
  <c r="CK10" i="5"/>
  <c r="CL10" i="5" s="1"/>
  <c r="CM10" i="5" s="1"/>
  <c r="CN10" i="5" s="1"/>
  <c r="CO10" i="5" s="1"/>
  <c r="CK9" i="5"/>
  <c r="CL9" i="5" s="1"/>
  <c r="CM9" i="5" s="1"/>
  <c r="CN9" i="5" s="1"/>
  <c r="CO9" i="5" s="1"/>
  <c r="CK11" i="5"/>
  <c r="CL11" i="5" s="1"/>
  <c r="CM11" i="5" s="1"/>
  <c r="CN11" i="5" s="1"/>
  <c r="CO11" i="5" s="1"/>
  <c r="CK8" i="5"/>
  <c r="CL8" i="5" s="1"/>
  <c r="CM8" i="5" s="1"/>
  <c r="CN8" i="5" s="1"/>
  <c r="CO8" i="5" s="1"/>
  <c r="CK12" i="5"/>
  <c r="CL12" i="5" s="1"/>
  <c r="CM12" i="5" s="1"/>
  <c r="CN12" i="5" s="1"/>
  <c r="CO12" i="5" s="1"/>
  <c r="CP3" i="5"/>
  <c r="CK7" i="5"/>
  <c r="CL7" i="5" s="1"/>
  <c r="CM7" i="5" s="1"/>
  <c r="CN7" i="5" s="1"/>
  <c r="CO7" i="5" s="1"/>
  <c r="CK63" i="5"/>
  <c r="CL63" i="5" s="1"/>
  <c r="CM63" i="5" s="1"/>
  <c r="CN63" i="5" s="1"/>
  <c r="CO63" i="5" s="1"/>
  <c r="CK40" i="5"/>
  <c r="CL40" i="5" s="1"/>
  <c r="CM40" i="5" s="1"/>
  <c r="CN40" i="5" s="1"/>
  <c r="CO40" i="5" s="1"/>
  <c r="CK68" i="5"/>
  <c r="CL68" i="5" s="1"/>
  <c r="CM68" i="5" s="1"/>
  <c r="CN68" i="5" s="1"/>
  <c r="CO68" i="5" s="1"/>
  <c r="CK30" i="5"/>
  <c r="CL30" i="5" s="1"/>
  <c r="CM30" i="5" s="1"/>
  <c r="CN30" i="5" s="1"/>
  <c r="CO30" i="5" s="1"/>
  <c r="CK70" i="5"/>
  <c r="CL70" i="5" s="1"/>
  <c r="CM70" i="5" s="1"/>
  <c r="CN70" i="5" s="1"/>
  <c r="CO70" i="5" s="1"/>
  <c r="CK6" i="5"/>
  <c r="CL6" i="5" s="1"/>
  <c r="CM6" i="5" s="1"/>
  <c r="CN6" i="5" s="1"/>
  <c r="CO6" i="5" s="1"/>
  <c r="CK20" i="5"/>
  <c r="CL20" i="5" s="1"/>
  <c r="CM20" i="5" s="1"/>
  <c r="CN20" i="5" s="1"/>
  <c r="CO20" i="5" s="1"/>
  <c r="CK32" i="5"/>
  <c r="CL32" i="5" s="1"/>
  <c r="CM32" i="5" s="1"/>
  <c r="CN32" i="5" s="1"/>
  <c r="CO32" i="5" s="1"/>
  <c r="CK64" i="5"/>
  <c r="CL64" i="5" s="1"/>
  <c r="CM64" i="5" s="1"/>
  <c r="CN64" i="5" s="1"/>
  <c r="CO64" i="5" s="1"/>
  <c r="CK4" i="5"/>
  <c r="CL4" i="5" s="1"/>
  <c r="CM4" i="5" s="1"/>
  <c r="CN4" i="5" s="1"/>
  <c r="CO4" i="5" s="1"/>
  <c r="CK13" i="5"/>
  <c r="CL13" i="5" s="1"/>
  <c r="CM13" i="5" s="1"/>
  <c r="CN13" i="5" s="1"/>
  <c r="CO13" i="5" s="1"/>
  <c r="CK21" i="5"/>
  <c r="CL21" i="5" s="1"/>
  <c r="CM21" i="5" s="1"/>
  <c r="CN21" i="5" s="1"/>
  <c r="CO21" i="5" s="1"/>
  <c r="CK34" i="5"/>
  <c r="CL34" i="5" s="1"/>
  <c r="CM34" i="5" s="1"/>
  <c r="CN34" i="5" s="1"/>
  <c r="CO34" i="5" s="1"/>
  <c r="CK44" i="5"/>
  <c r="CL44" i="5" s="1"/>
  <c r="CM44" i="5" s="1"/>
  <c r="CN44" i="5" s="1"/>
  <c r="CO44" i="5" s="1"/>
  <c r="CK33" i="5"/>
  <c r="CL33" i="5" s="1"/>
  <c r="CM33" i="5" s="1"/>
  <c r="CN33" i="5" s="1"/>
  <c r="CO33" i="5" s="1"/>
  <c r="CK14" i="5"/>
  <c r="CL14" i="5" s="1"/>
  <c r="CM14" i="5" s="1"/>
  <c r="CN14" i="5" s="1"/>
  <c r="CO14" i="5" s="1"/>
  <c r="CK15" i="5"/>
  <c r="CL15" i="5" s="1"/>
  <c r="CM15" i="5" s="1"/>
  <c r="CN15" i="5" s="1"/>
  <c r="CO15" i="5" s="1"/>
  <c r="CK48" i="5"/>
  <c r="CL48" i="5" s="1"/>
  <c r="CM48" i="5" s="1"/>
  <c r="CN48" i="5" s="1"/>
  <c r="CO48" i="5" s="1"/>
  <c r="CK65" i="5"/>
  <c r="CL65" i="5" s="1"/>
  <c r="CM65" i="5" s="1"/>
  <c r="CN65" i="5" s="1"/>
  <c r="CO65" i="5" s="1"/>
  <c r="CK39" i="5"/>
  <c r="CL39" i="5" s="1"/>
  <c r="CM39" i="5" s="1"/>
  <c r="CN39" i="5" s="1"/>
  <c r="CO39" i="5" s="1"/>
  <c r="CK19" i="5"/>
  <c r="CL19" i="5" s="1"/>
  <c r="CM19" i="5" s="1"/>
  <c r="CN19" i="5" s="1"/>
  <c r="CO19" i="5" s="1"/>
  <c r="CK66" i="5"/>
  <c r="CL66" i="5" s="1"/>
  <c r="CM66" i="5" s="1"/>
  <c r="CN66" i="5" s="1"/>
  <c r="CO66" i="5" s="1"/>
  <c r="CK24" i="5"/>
  <c r="CL24" i="5" s="1"/>
  <c r="CM24" i="5" s="1"/>
  <c r="CN24" i="5" s="1"/>
  <c r="CO24" i="5" s="1"/>
  <c r="CK41" i="5"/>
  <c r="CL41" i="5" s="1"/>
  <c r="CM41" i="5" s="1"/>
  <c r="CN41" i="5" s="1"/>
  <c r="CO41" i="5" s="1"/>
  <c r="CK25" i="5"/>
  <c r="CL25" i="5" s="1"/>
  <c r="CM25" i="5" s="1"/>
  <c r="CN25" i="5" s="1"/>
  <c r="CO25" i="5" s="1"/>
  <c r="CK67" i="5"/>
  <c r="CL67" i="5" s="1"/>
  <c r="CM67" i="5" s="1"/>
  <c r="CN67" i="5" s="1"/>
  <c r="CO67" i="5" s="1"/>
  <c r="CK5" i="5"/>
  <c r="CL5" i="5" s="1"/>
  <c r="CM5" i="5" s="1"/>
  <c r="CN5" i="5" s="1"/>
  <c r="CO5" i="5" s="1"/>
  <c r="CK49" i="5"/>
  <c r="CL49" i="5" s="1"/>
  <c r="CM49" i="5" s="1"/>
  <c r="CN49" i="5" s="1"/>
  <c r="CO49" i="5" s="1"/>
  <c r="CK31" i="5"/>
  <c r="CL31" i="5" s="1"/>
  <c r="CM31" i="5" s="1"/>
  <c r="CN31" i="5" s="1"/>
  <c r="CO31" i="5" s="1"/>
  <c r="CK52" i="5"/>
  <c r="CL52" i="5" s="1"/>
  <c r="CM52" i="5" s="1"/>
  <c r="CN52" i="5" s="1"/>
  <c r="CO52" i="5" s="1"/>
  <c r="CK35" i="5"/>
  <c r="CL35" i="5" s="1"/>
  <c r="CM35" i="5" s="1"/>
  <c r="CN35" i="5" s="1"/>
  <c r="CO35" i="5" s="1"/>
  <c r="CK18" i="5"/>
  <c r="CL18" i="5" s="1"/>
  <c r="CM18" i="5" s="1"/>
  <c r="CN18" i="5" s="1"/>
  <c r="CO18" i="5" s="1"/>
  <c r="CP5" i="5" l="1"/>
  <c r="CP62" i="5"/>
  <c r="CQ62" i="5" s="1"/>
  <c r="CR62" i="5" s="1"/>
  <c r="CS62" i="5" s="1"/>
  <c r="CT62" i="5" s="1"/>
  <c r="CP54" i="5"/>
  <c r="CQ54" i="5" s="1"/>
  <c r="CR54" i="5" s="1"/>
  <c r="CS54" i="5" s="1"/>
  <c r="CT54" i="5" s="1"/>
  <c r="CP55" i="5"/>
  <c r="CQ55" i="5" s="1"/>
  <c r="CR55" i="5" s="1"/>
  <c r="CS55" i="5" s="1"/>
  <c r="CT55" i="5" s="1"/>
  <c r="CP53" i="5"/>
  <c r="CQ53" i="5" s="1"/>
  <c r="CR53" i="5" s="1"/>
  <c r="CS53" i="5" s="1"/>
  <c r="CT53" i="5" s="1"/>
  <c r="CP61" i="5"/>
  <c r="CQ61" i="5" s="1"/>
  <c r="CR61" i="5" s="1"/>
  <c r="CS61" i="5" s="1"/>
  <c r="CT61" i="5" s="1"/>
  <c r="CP58" i="5"/>
  <c r="CQ58" i="5" s="1"/>
  <c r="CR58" i="5" s="1"/>
  <c r="CS58" i="5" s="1"/>
  <c r="CT58" i="5" s="1"/>
  <c r="CP57" i="5"/>
  <c r="CQ57" i="5" s="1"/>
  <c r="CR57" i="5" s="1"/>
  <c r="CS57" i="5" s="1"/>
  <c r="CT57" i="5" s="1"/>
  <c r="CP56" i="5"/>
  <c r="CQ56" i="5" s="1"/>
  <c r="CR56" i="5" s="1"/>
  <c r="CS56" i="5" s="1"/>
  <c r="CT56" i="5" s="1"/>
  <c r="CP59" i="5"/>
  <c r="CQ59" i="5" s="1"/>
  <c r="CR59" i="5" s="1"/>
  <c r="CS59" i="5" s="1"/>
  <c r="CT59" i="5" s="1"/>
  <c r="CP60" i="5"/>
  <c r="CQ60" i="5" s="1"/>
  <c r="CR60" i="5" s="1"/>
  <c r="CS60" i="5" s="1"/>
  <c r="CT60" i="5" s="1"/>
  <c r="CP4" i="5"/>
  <c r="CQ4" i="5" s="1"/>
  <c r="CR4" i="5" s="1"/>
  <c r="CS4" i="5" s="1"/>
  <c r="CT4" i="5" s="1"/>
  <c r="CP69" i="5"/>
  <c r="CQ69" i="5" s="1"/>
  <c r="CR69" i="5" s="1"/>
  <c r="CS69" i="5" s="1"/>
  <c r="CT69" i="5" s="1"/>
  <c r="CP26" i="5"/>
  <c r="CQ26" i="5" s="1"/>
  <c r="CR26" i="5" s="1"/>
  <c r="CS26" i="5" s="1"/>
  <c r="CT26" i="5" s="1"/>
  <c r="CP45" i="5"/>
  <c r="CQ45" i="5" s="1"/>
  <c r="CR45" i="5" s="1"/>
  <c r="CS45" i="5" s="1"/>
  <c r="CT45" i="5" s="1"/>
  <c r="CP50" i="5"/>
  <c r="CQ50" i="5" s="1"/>
  <c r="CR50" i="5" s="1"/>
  <c r="CS50" i="5" s="1"/>
  <c r="CT50" i="5" s="1"/>
  <c r="CP28" i="5"/>
  <c r="CQ28" i="5" s="1"/>
  <c r="CR28" i="5" s="1"/>
  <c r="CS28" i="5" s="1"/>
  <c r="CT28" i="5" s="1"/>
  <c r="CP46" i="5"/>
  <c r="CQ46" i="5" s="1"/>
  <c r="CR46" i="5" s="1"/>
  <c r="CS46" i="5" s="1"/>
  <c r="CT46" i="5" s="1"/>
  <c r="CP42" i="5"/>
  <c r="CQ42" i="5" s="1"/>
  <c r="CR42" i="5" s="1"/>
  <c r="CS42" i="5" s="1"/>
  <c r="CT42" i="5" s="1"/>
  <c r="CP47" i="5"/>
  <c r="CQ47" i="5" s="1"/>
  <c r="CR47" i="5" s="1"/>
  <c r="CS47" i="5" s="1"/>
  <c r="CT47" i="5" s="1"/>
  <c r="CP51" i="5"/>
  <c r="CQ51" i="5" s="1"/>
  <c r="CR51" i="5" s="1"/>
  <c r="CS51" i="5" s="1"/>
  <c r="CT51" i="5" s="1"/>
  <c r="CP43" i="5"/>
  <c r="CQ43" i="5" s="1"/>
  <c r="CR43" i="5" s="1"/>
  <c r="CS43" i="5" s="1"/>
  <c r="CT43" i="5" s="1"/>
  <c r="CP29" i="5"/>
  <c r="CQ29" i="5" s="1"/>
  <c r="CR29" i="5" s="1"/>
  <c r="CS29" i="5" s="1"/>
  <c r="CT29" i="5" s="1"/>
  <c r="CP37" i="5"/>
  <c r="CQ37" i="5" s="1"/>
  <c r="CR37" i="5" s="1"/>
  <c r="CS37" i="5" s="1"/>
  <c r="CT37" i="5" s="1"/>
  <c r="CP38" i="5"/>
  <c r="CQ38" i="5" s="1"/>
  <c r="CR38" i="5" s="1"/>
  <c r="CS38" i="5" s="1"/>
  <c r="CT38" i="5" s="1"/>
  <c r="CP23" i="5"/>
  <c r="CQ23" i="5" s="1"/>
  <c r="CR23" i="5" s="1"/>
  <c r="CS23" i="5" s="1"/>
  <c r="CT23" i="5" s="1"/>
  <c r="CP36" i="5"/>
  <c r="CQ36" i="5" s="1"/>
  <c r="CR36" i="5" s="1"/>
  <c r="CS36" i="5" s="1"/>
  <c r="CT36" i="5" s="1"/>
  <c r="CP22" i="5"/>
  <c r="CQ22" i="5" s="1"/>
  <c r="CR22" i="5" s="1"/>
  <c r="CS22" i="5" s="1"/>
  <c r="CT22" i="5" s="1"/>
  <c r="CU3" i="5"/>
  <c r="CP16" i="5"/>
  <c r="CQ16" i="5" s="1"/>
  <c r="CR16" i="5" s="1"/>
  <c r="CS16" i="5" s="1"/>
  <c r="CT16" i="5" s="1"/>
  <c r="CP17" i="5"/>
  <c r="CQ17" i="5" s="1"/>
  <c r="CR17" i="5" s="1"/>
  <c r="CS17" i="5" s="1"/>
  <c r="CT17" i="5" s="1"/>
  <c r="CP11" i="5"/>
  <c r="CQ11" i="5" s="1"/>
  <c r="CR11" i="5" s="1"/>
  <c r="CS11" i="5" s="1"/>
  <c r="CT11" i="5" s="1"/>
  <c r="CP12" i="5"/>
  <c r="CQ12" i="5" s="1"/>
  <c r="CR12" i="5" s="1"/>
  <c r="CS12" i="5" s="1"/>
  <c r="CT12" i="5" s="1"/>
  <c r="CP9" i="5"/>
  <c r="CQ9" i="5" s="1"/>
  <c r="CR9" i="5" s="1"/>
  <c r="CS9" i="5" s="1"/>
  <c r="CT9" i="5" s="1"/>
  <c r="CP10" i="5"/>
  <c r="CQ10" i="5" s="1"/>
  <c r="CR10" i="5" s="1"/>
  <c r="CS10" i="5" s="1"/>
  <c r="CT10" i="5" s="1"/>
  <c r="CP8" i="5"/>
  <c r="CQ8" i="5" s="1"/>
  <c r="CR8" i="5" s="1"/>
  <c r="CS8" i="5" s="1"/>
  <c r="CT8" i="5" s="1"/>
  <c r="CP63" i="5"/>
  <c r="CQ63" i="5" s="1"/>
  <c r="CR63" i="5" s="1"/>
  <c r="CS63" i="5" s="1"/>
  <c r="CT63" i="5" s="1"/>
  <c r="CP49" i="5"/>
  <c r="CQ49" i="5" s="1"/>
  <c r="CR49" i="5" s="1"/>
  <c r="CS49" i="5" s="1"/>
  <c r="CT49" i="5" s="1"/>
  <c r="CP32" i="5"/>
  <c r="CQ32" i="5" s="1"/>
  <c r="CR32" i="5" s="1"/>
  <c r="CS32" i="5" s="1"/>
  <c r="CT32" i="5" s="1"/>
  <c r="CP14" i="5"/>
  <c r="CQ14" i="5" s="1"/>
  <c r="CR14" i="5" s="1"/>
  <c r="CS14" i="5" s="1"/>
  <c r="CT14" i="5" s="1"/>
  <c r="CP31" i="5"/>
  <c r="CQ31" i="5" s="1"/>
  <c r="CR31" i="5" s="1"/>
  <c r="CS31" i="5" s="1"/>
  <c r="CT31" i="5" s="1"/>
  <c r="CP13" i="5"/>
  <c r="CQ13" i="5" s="1"/>
  <c r="CR13" i="5" s="1"/>
  <c r="CS13" i="5" s="1"/>
  <c r="CT13" i="5" s="1"/>
  <c r="CP44" i="5"/>
  <c r="CQ44" i="5" s="1"/>
  <c r="CR44" i="5" s="1"/>
  <c r="CS44" i="5" s="1"/>
  <c r="CT44" i="5" s="1"/>
  <c r="CP40" i="5"/>
  <c r="CQ40" i="5" s="1"/>
  <c r="CR40" i="5" s="1"/>
  <c r="CS40" i="5" s="1"/>
  <c r="CT40" i="5" s="1"/>
  <c r="CP18" i="5"/>
  <c r="CQ18" i="5" s="1"/>
  <c r="CR18" i="5" s="1"/>
  <c r="CS18" i="5" s="1"/>
  <c r="CT18" i="5" s="1"/>
  <c r="CP64" i="5"/>
  <c r="CQ64" i="5" s="1"/>
  <c r="CR64" i="5" s="1"/>
  <c r="CS64" i="5" s="1"/>
  <c r="CT64" i="5" s="1"/>
  <c r="CP24" i="5"/>
  <c r="CQ24" i="5" s="1"/>
  <c r="CR24" i="5" s="1"/>
  <c r="CS24" i="5" s="1"/>
  <c r="CT24" i="5" s="1"/>
  <c r="CP20" i="5"/>
  <c r="CQ20" i="5" s="1"/>
  <c r="CR20" i="5" s="1"/>
  <c r="CS20" i="5" s="1"/>
  <c r="CT20" i="5" s="1"/>
  <c r="CP52" i="5"/>
  <c r="CQ52" i="5" s="1"/>
  <c r="CR52" i="5" s="1"/>
  <c r="CS52" i="5" s="1"/>
  <c r="CT52" i="5" s="1"/>
  <c r="CP21" i="5"/>
  <c r="CQ21" i="5" s="1"/>
  <c r="CR21" i="5" s="1"/>
  <c r="CS21" i="5" s="1"/>
  <c r="CT21" i="5" s="1"/>
  <c r="CP48" i="5"/>
  <c r="CQ48" i="5" s="1"/>
  <c r="CR48" i="5" s="1"/>
  <c r="CS48" i="5" s="1"/>
  <c r="CT48" i="5" s="1"/>
  <c r="CP19" i="5"/>
  <c r="CQ19" i="5" s="1"/>
  <c r="CR19" i="5" s="1"/>
  <c r="CS19" i="5" s="1"/>
  <c r="CT19" i="5" s="1"/>
  <c r="CP41" i="5"/>
  <c r="CQ41" i="5" s="1"/>
  <c r="CR41" i="5" s="1"/>
  <c r="CS41" i="5" s="1"/>
  <c r="CT41" i="5" s="1"/>
  <c r="CP15" i="5"/>
  <c r="CQ15" i="5" s="1"/>
  <c r="CR15" i="5" s="1"/>
  <c r="CS15" i="5" s="1"/>
  <c r="CT15" i="5" s="1"/>
  <c r="CP70" i="5"/>
  <c r="CQ70" i="5" s="1"/>
  <c r="CR70" i="5" s="1"/>
  <c r="CS70" i="5" s="1"/>
  <c r="CT70" i="5" s="1"/>
  <c r="CP68" i="5"/>
  <c r="CQ68" i="5" s="1"/>
  <c r="CR68" i="5" s="1"/>
  <c r="CS68" i="5" s="1"/>
  <c r="CT68" i="5" s="1"/>
  <c r="CP67" i="5"/>
  <c r="CQ67" i="5" s="1"/>
  <c r="CR67" i="5" s="1"/>
  <c r="CS67" i="5" s="1"/>
  <c r="CT67" i="5" s="1"/>
  <c r="CP66" i="5"/>
  <c r="CQ66" i="5" s="1"/>
  <c r="CR66" i="5" s="1"/>
  <c r="CS66" i="5" s="1"/>
  <c r="CT66" i="5" s="1"/>
  <c r="CP65" i="5"/>
  <c r="CQ65" i="5" s="1"/>
  <c r="CR65" i="5" s="1"/>
  <c r="CS65" i="5" s="1"/>
  <c r="CT65" i="5" s="1"/>
  <c r="CP39" i="5"/>
  <c r="CQ39" i="5" s="1"/>
  <c r="CR39" i="5" s="1"/>
  <c r="CS39" i="5" s="1"/>
  <c r="CT39" i="5" s="1"/>
  <c r="CP7" i="5"/>
  <c r="CQ7" i="5" s="1"/>
  <c r="CR7" i="5" s="1"/>
  <c r="CS7" i="5" s="1"/>
  <c r="CT7" i="5" s="1"/>
  <c r="CP6" i="5"/>
  <c r="CQ6" i="5" s="1"/>
  <c r="CR6" i="5" s="1"/>
  <c r="CS6" i="5" s="1"/>
  <c r="CT6" i="5" s="1"/>
  <c r="CQ5" i="5"/>
  <c r="CR5" i="5" s="1"/>
  <c r="CS5" i="5" s="1"/>
  <c r="CT5" i="5" s="1"/>
  <c r="CP35" i="5"/>
  <c r="CQ35" i="5" s="1"/>
  <c r="CR35" i="5" s="1"/>
  <c r="CS35" i="5" s="1"/>
  <c r="CT35" i="5" s="1"/>
  <c r="CP34" i="5"/>
  <c r="CQ34" i="5" s="1"/>
  <c r="CR34" i="5" s="1"/>
  <c r="CS34" i="5" s="1"/>
  <c r="CT34" i="5" s="1"/>
  <c r="CP33" i="5"/>
  <c r="CQ33" i="5" s="1"/>
  <c r="CR33" i="5" s="1"/>
  <c r="CS33" i="5" s="1"/>
  <c r="CT33" i="5" s="1"/>
  <c r="CP30" i="5"/>
  <c r="CQ30" i="5" s="1"/>
  <c r="CR30" i="5" s="1"/>
  <c r="CS30" i="5" s="1"/>
  <c r="CT30" i="5" s="1"/>
  <c r="CP25" i="5"/>
  <c r="CQ25" i="5" s="1"/>
  <c r="CR25" i="5" s="1"/>
  <c r="CS25" i="5" s="1"/>
  <c r="CT25" i="5" s="1"/>
  <c r="CU61" i="5" l="1"/>
  <c r="CV61" i="5" s="1"/>
  <c r="CW61" i="5" s="1"/>
  <c r="CX61" i="5" s="1"/>
  <c r="CY61" i="5" s="1"/>
  <c r="CU55" i="5"/>
  <c r="CV55" i="5" s="1"/>
  <c r="CW55" i="5" s="1"/>
  <c r="CX55" i="5" s="1"/>
  <c r="CY55" i="5" s="1"/>
  <c r="CU53" i="5"/>
  <c r="CV53" i="5" s="1"/>
  <c r="CW53" i="5" s="1"/>
  <c r="CX53" i="5" s="1"/>
  <c r="CY53" i="5" s="1"/>
  <c r="CU57" i="5"/>
  <c r="CV57" i="5" s="1"/>
  <c r="CW57" i="5" s="1"/>
  <c r="CX57" i="5" s="1"/>
  <c r="CY57" i="5" s="1"/>
  <c r="CU58" i="5"/>
  <c r="CV58" i="5" s="1"/>
  <c r="CW58" i="5" s="1"/>
  <c r="CX58" i="5" s="1"/>
  <c r="CY58" i="5" s="1"/>
  <c r="CU54" i="5"/>
  <c r="CV54" i="5" s="1"/>
  <c r="CW54" i="5" s="1"/>
  <c r="CX54" i="5" s="1"/>
  <c r="CY54" i="5" s="1"/>
  <c r="CU60" i="5"/>
  <c r="CV60" i="5" s="1"/>
  <c r="CW60" i="5" s="1"/>
  <c r="CX60" i="5" s="1"/>
  <c r="CY60" i="5" s="1"/>
  <c r="CU59" i="5"/>
  <c r="CV59" i="5" s="1"/>
  <c r="CW59" i="5" s="1"/>
  <c r="CX59" i="5" s="1"/>
  <c r="CY59" i="5" s="1"/>
  <c r="CU62" i="5"/>
  <c r="CV62" i="5" s="1"/>
  <c r="CW62" i="5" s="1"/>
  <c r="CX62" i="5" s="1"/>
  <c r="CY62" i="5" s="1"/>
  <c r="CU56" i="5"/>
  <c r="CV56" i="5" s="1"/>
  <c r="CW56" i="5" s="1"/>
  <c r="CX56" i="5" s="1"/>
  <c r="CY56" i="5" s="1"/>
  <c r="CU16" i="5"/>
  <c r="CV16" i="5" s="1"/>
  <c r="CW16" i="5" s="1"/>
  <c r="CX16" i="5" s="1"/>
  <c r="CY16" i="5" s="1"/>
  <c r="CU70" i="5"/>
  <c r="CV70" i="5" s="1"/>
  <c r="CW70" i="5" s="1"/>
  <c r="CX70" i="5" s="1"/>
  <c r="CY70" i="5" s="1"/>
  <c r="CU45" i="5"/>
  <c r="CV45" i="5" s="1"/>
  <c r="CW45" i="5" s="1"/>
  <c r="CX45" i="5" s="1"/>
  <c r="CY45" i="5" s="1"/>
  <c r="CU50" i="5"/>
  <c r="CV50" i="5" s="1"/>
  <c r="CW50" i="5" s="1"/>
  <c r="CX50" i="5" s="1"/>
  <c r="CY50" i="5" s="1"/>
  <c r="CU47" i="5"/>
  <c r="CV47" i="5" s="1"/>
  <c r="CW47" i="5" s="1"/>
  <c r="CX47" i="5" s="1"/>
  <c r="CY47" i="5" s="1"/>
  <c r="CU46" i="5"/>
  <c r="CV46" i="5" s="1"/>
  <c r="CW46" i="5" s="1"/>
  <c r="CX46" i="5" s="1"/>
  <c r="CY46" i="5" s="1"/>
  <c r="CU51" i="5"/>
  <c r="CV51" i="5" s="1"/>
  <c r="CW51" i="5" s="1"/>
  <c r="CX51" i="5" s="1"/>
  <c r="CY51" i="5" s="1"/>
  <c r="CU42" i="5"/>
  <c r="CV42" i="5" s="1"/>
  <c r="CW42" i="5" s="1"/>
  <c r="CX42" i="5" s="1"/>
  <c r="CY42" i="5" s="1"/>
  <c r="CU26" i="5"/>
  <c r="CV26" i="5" s="1"/>
  <c r="CW26" i="5" s="1"/>
  <c r="CX26" i="5" s="1"/>
  <c r="CY26" i="5" s="1"/>
  <c r="CU28" i="5"/>
  <c r="CV28" i="5" s="1"/>
  <c r="CW28" i="5" s="1"/>
  <c r="CX28" i="5" s="1"/>
  <c r="CY28" i="5" s="1"/>
  <c r="CU43" i="5"/>
  <c r="CV43" i="5" s="1"/>
  <c r="CW43" i="5" s="1"/>
  <c r="CX43" i="5" s="1"/>
  <c r="CY43" i="5" s="1"/>
  <c r="CU30" i="5"/>
  <c r="CV30" i="5" s="1"/>
  <c r="CW30" i="5" s="1"/>
  <c r="CX30" i="5" s="1"/>
  <c r="CY30" i="5" s="1"/>
  <c r="CU69" i="5"/>
  <c r="CV69" i="5" s="1"/>
  <c r="CW69" i="5" s="1"/>
  <c r="CX69" i="5" s="1"/>
  <c r="CY69" i="5" s="1"/>
  <c r="CU25" i="5"/>
  <c r="CV25" i="5" s="1"/>
  <c r="CW25" i="5" s="1"/>
  <c r="CX25" i="5" s="1"/>
  <c r="CY25" i="5" s="1"/>
  <c r="CU13" i="5"/>
  <c r="CV13" i="5" s="1"/>
  <c r="CW13" i="5" s="1"/>
  <c r="CX13" i="5" s="1"/>
  <c r="CY13" i="5" s="1"/>
  <c r="CU14" i="5"/>
  <c r="CV14" i="5" s="1"/>
  <c r="CW14" i="5" s="1"/>
  <c r="CX14" i="5" s="1"/>
  <c r="CY14" i="5" s="1"/>
  <c r="CU35" i="5"/>
  <c r="CV35" i="5" s="1"/>
  <c r="CW35" i="5" s="1"/>
  <c r="CX35" i="5" s="1"/>
  <c r="CY35" i="5" s="1"/>
  <c r="CU63" i="5"/>
  <c r="CV63" i="5" s="1"/>
  <c r="CW63" i="5" s="1"/>
  <c r="CX63" i="5" s="1"/>
  <c r="CY63" i="5" s="1"/>
  <c r="CU5" i="5"/>
  <c r="CV5" i="5" s="1"/>
  <c r="CW5" i="5" s="1"/>
  <c r="CX5" i="5" s="1"/>
  <c r="CY5" i="5" s="1"/>
  <c r="CU39" i="5"/>
  <c r="CV39" i="5" s="1"/>
  <c r="CW39" i="5" s="1"/>
  <c r="CX39" i="5" s="1"/>
  <c r="CY39" i="5" s="1"/>
  <c r="CU19" i="5"/>
  <c r="CV19" i="5" s="1"/>
  <c r="CW19" i="5" s="1"/>
  <c r="CX19" i="5" s="1"/>
  <c r="CY19" i="5" s="1"/>
  <c r="CU40" i="5"/>
  <c r="CV40" i="5" s="1"/>
  <c r="CW40" i="5" s="1"/>
  <c r="CX40" i="5" s="1"/>
  <c r="CY40" i="5" s="1"/>
  <c r="CU34" i="5"/>
  <c r="CV34" i="5" s="1"/>
  <c r="CW34" i="5" s="1"/>
  <c r="CX34" i="5" s="1"/>
  <c r="CY34" i="5" s="1"/>
  <c r="CU7" i="5"/>
  <c r="CV7" i="5" s="1"/>
  <c r="CW7" i="5" s="1"/>
  <c r="CX7" i="5" s="1"/>
  <c r="CY7" i="5" s="1"/>
  <c r="CU65" i="5"/>
  <c r="CV65" i="5" s="1"/>
  <c r="CW65" i="5" s="1"/>
  <c r="CX65" i="5" s="1"/>
  <c r="CY65" i="5" s="1"/>
  <c r="CU48" i="5"/>
  <c r="CV48" i="5" s="1"/>
  <c r="CW48" i="5" s="1"/>
  <c r="CX48" i="5" s="1"/>
  <c r="CY48" i="5" s="1"/>
  <c r="CU17" i="5"/>
  <c r="CV17" i="5" s="1"/>
  <c r="CW17" i="5" s="1"/>
  <c r="CX17" i="5" s="1"/>
  <c r="CY17" i="5" s="1"/>
  <c r="CU15" i="5"/>
  <c r="CV15" i="5" s="1"/>
  <c r="CW15" i="5" s="1"/>
  <c r="CX15" i="5" s="1"/>
  <c r="CY15" i="5" s="1"/>
  <c r="CU20" i="5"/>
  <c r="CV20" i="5" s="1"/>
  <c r="CW20" i="5" s="1"/>
  <c r="CX20" i="5" s="1"/>
  <c r="CY20" i="5" s="1"/>
  <c r="CU66" i="5"/>
  <c r="CV66" i="5" s="1"/>
  <c r="CW66" i="5" s="1"/>
  <c r="CX66" i="5" s="1"/>
  <c r="CY66" i="5" s="1"/>
  <c r="CU10" i="5"/>
  <c r="CV10" i="5" s="1"/>
  <c r="CW10" i="5" s="1"/>
  <c r="CX10" i="5" s="1"/>
  <c r="CY10" i="5" s="1"/>
  <c r="CU6" i="5"/>
  <c r="CV6" i="5" s="1"/>
  <c r="CW6" i="5" s="1"/>
  <c r="CX6" i="5" s="1"/>
  <c r="CY6" i="5" s="1"/>
  <c r="CZ3" i="5"/>
  <c r="CZ12" i="5" s="1"/>
  <c r="DA12" i="5" s="1"/>
  <c r="DB12" i="5" s="1"/>
  <c r="DC12" i="5" s="1"/>
  <c r="DD12" i="5" s="1"/>
  <c r="CU52" i="5"/>
  <c r="CV52" i="5" s="1"/>
  <c r="CW52" i="5" s="1"/>
  <c r="CX52" i="5" s="1"/>
  <c r="CY52" i="5" s="1"/>
  <c r="CU37" i="5"/>
  <c r="CV37" i="5" s="1"/>
  <c r="CW37" i="5" s="1"/>
  <c r="CX37" i="5" s="1"/>
  <c r="CY37" i="5" s="1"/>
  <c r="CU38" i="5"/>
  <c r="CV38" i="5" s="1"/>
  <c r="CW38" i="5" s="1"/>
  <c r="CX38" i="5" s="1"/>
  <c r="CY38" i="5" s="1"/>
  <c r="CU29" i="5"/>
  <c r="CV29" i="5" s="1"/>
  <c r="CW29" i="5" s="1"/>
  <c r="CX29" i="5" s="1"/>
  <c r="CY29" i="5" s="1"/>
  <c r="CU31" i="5"/>
  <c r="CV31" i="5" s="1"/>
  <c r="CW31" i="5" s="1"/>
  <c r="CX31" i="5" s="1"/>
  <c r="CY31" i="5" s="1"/>
  <c r="CU49" i="5"/>
  <c r="CV49" i="5" s="1"/>
  <c r="CW49" i="5" s="1"/>
  <c r="CX49" i="5" s="1"/>
  <c r="CY49" i="5" s="1"/>
  <c r="CU67" i="5"/>
  <c r="CV67" i="5" s="1"/>
  <c r="CW67" i="5" s="1"/>
  <c r="CX67" i="5" s="1"/>
  <c r="CY67" i="5" s="1"/>
  <c r="CU4" i="5"/>
  <c r="CV4" i="5" s="1"/>
  <c r="CW4" i="5" s="1"/>
  <c r="CX4" i="5" s="1"/>
  <c r="CY4" i="5" s="1"/>
  <c r="CU12" i="5"/>
  <c r="CV12" i="5" s="1"/>
  <c r="CW12" i="5" s="1"/>
  <c r="CX12" i="5" s="1"/>
  <c r="CY12" i="5" s="1"/>
  <c r="CU44" i="5"/>
  <c r="CV44" i="5" s="1"/>
  <c r="CW44" i="5" s="1"/>
  <c r="CX44" i="5" s="1"/>
  <c r="CY44" i="5" s="1"/>
  <c r="CU32" i="5"/>
  <c r="CV32" i="5" s="1"/>
  <c r="CW32" i="5" s="1"/>
  <c r="CX32" i="5" s="1"/>
  <c r="CY32" i="5" s="1"/>
  <c r="CU36" i="5"/>
  <c r="CV36" i="5" s="1"/>
  <c r="CW36" i="5" s="1"/>
  <c r="CX36" i="5" s="1"/>
  <c r="CY36" i="5" s="1"/>
  <c r="CU23" i="5"/>
  <c r="CV23" i="5" s="1"/>
  <c r="CW23" i="5" s="1"/>
  <c r="CX23" i="5" s="1"/>
  <c r="CY23" i="5" s="1"/>
  <c r="CU22" i="5"/>
  <c r="CV22" i="5" s="1"/>
  <c r="CW22" i="5" s="1"/>
  <c r="CX22" i="5" s="1"/>
  <c r="CY22" i="5" s="1"/>
  <c r="CU21" i="5"/>
  <c r="CV21" i="5" s="1"/>
  <c r="CW21" i="5" s="1"/>
  <c r="CX21" i="5" s="1"/>
  <c r="CY21" i="5" s="1"/>
  <c r="CU41" i="5"/>
  <c r="CV41" i="5" s="1"/>
  <c r="CW41" i="5" s="1"/>
  <c r="CX41" i="5" s="1"/>
  <c r="CY41" i="5" s="1"/>
  <c r="CU18" i="5"/>
  <c r="CV18" i="5" s="1"/>
  <c r="CW18" i="5" s="1"/>
  <c r="CX18" i="5" s="1"/>
  <c r="CY18" i="5" s="1"/>
  <c r="CU8" i="5"/>
  <c r="CV8" i="5" s="1"/>
  <c r="CW8" i="5" s="1"/>
  <c r="CX8" i="5" s="1"/>
  <c r="CY8" i="5" s="1"/>
  <c r="CU68" i="5"/>
  <c r="CV68" i="5" s="1"/>
  <c r="CW68" i="5" s="1"/>
  <c r="CX68" i="5" s="1"/>
  <c r="CY68" i="5" s="1"/>
  <c r="CU33" i="5"/>
  <c r="CV33" i="5" s="1"/>
  <c r="CW33" i="5" s="1"/>
  <c r="CX33" i="5" s="1"/>
  <c r="CY33" i="5" s="1"/>
  <c r="CU11" i="5"/>
  <c r="CV11" i="5" s="1"/>
  <c r="CW11" i="5" s="1"/>
  <c r="CX11" i="5" s="1"/>
  <c r="CY11" i="5" s="1"/>
  <c r="CU24" i="5"/>
  <c r="CV24" i="5" s="1"/>
  <c r="CW24" i="5" s="1"/>
  <c r="CX24" i="5" s="1"/>
  <c r="CY24" i="5" s="1"/>
  <c r="CU64" i="5"/>
  <c r="CV64" i="5" s="1"/>
  <c r="CW64" i="5" s="1"/>
  <c r="CX64" i="5" s="1"/>
  <c r="CY64" i="5" s="1"/>
  <c r="CU9" i="5"/>
  <c r="CV9" i="5" s="1"/>
  <c r="CW9" i="5" s="1"/>
  <c r="CX9" i="5" s="1"/>
  <c r="CY9" i="5" s="1"/>
  <c r="CZ41" i="5" l="1"/>
  <c r="DA41" i="5" s="1"/>
  <c r="DB41" i="5" s="1"/>
  <c r="DC41" i="5" s="1"/>
  <c r="DD41" i="5" s="1"/>
  <c r="CZ8" i="5"/>
  <c r="DA8" i="5" s="1"/>
  <c r="DB8" i="5" s="1"/>
  <c r="DC8" i="5" s="1"/>
  <c r="DD8" i="5" s="1"/>
  <c r="CZ17" i="5"/>
  <c r="DA17" i="5" s="1"/>
  <c r="DB17" i="5" s="1"/>
  <c r="DC17" i="5" s="1"/>
  <c r="DD17" i="5" s="1"/>
  <c r="CZ61" i="5"/>
  <c r="DA61" i="5" s="1"/>
  <c r="DB61" i="5" s="1"/>
  <c r="DC61" i="5" s="1"/>
  <c r="DD61" i="5" s="1"/>
  <c r="CZ55" i="5"/>
  <c r="DA55" i="5" s="1"/>
  <c r="DB55" i="5" s="1"/>
  <c r="DC55" i="5" s="1"/>
  <c r="DD55" i="5" s="1"/>
  <c r="CZ53" i="5"/>
  <c r="DA53" i="5" s="1"/>
  <c r="DB53" i="5" s="1"/>
  <c r="DC53" i="5" s="1"/>
  <c r="DD53" i="5" s="1"/>
  <c r="CZ58" i="5"/>
  <c r="DA58" i="5" s="1"/>
  <c r="DB58" i="5" s="1"/>
  <c r="DC58" i="5" s="1"/>
  <c r="DD58" i="5" s="1"/>
  <c r="CZ60" i="5"/>
  <c r="DA60" i="5" s="1"/>
  <c r="DB60" i="5" s="1"/>
  <c r="DC60" i="5" s="1"/>
  <c r="DD60" i="5" s="1"/>
  <c r="CZ54" i="5"/>
  <c r="DA54" i="5" s="1"/>
  <c r="DB54" i="5" s="1"/>
  <c r="DC54" i="5" s="1"/>
  <c r="DD54" i="5" s="1"/>
  <c r="CZ57" i="5"/>
  <c r="DA57" i="5" s="1"/>
  <c r="DB57" i="5" s="1"/>
  <c r="DC57" i="5" s="1"/>
  <c r="DD57" i="5" s="1"/>
  <c r="CZ59" i="5"/>
  <c r="DA59" i="5" s="1"/>
  <c r="DB59" i="5" s="1"/>
  <c r="DC59" i="5" s="1"/>
  <c r="DD59" i="5" s="1"/>
  <c r="CZ62" i="5"/>
  <c r="DA62" i="5" s="1"/>
  <c r="DB62" i="5" s="1"/>
  <c r="DC62" i="5" s="1"/>
  <c r="DD62" i="5" s="1"/>
  <c r="CZ56" i="5"/>
  <c r="DA56" i="5" s="1"/>
  <c r="DB56" i="5" s="1"/>
  <c r="DC56" i="5" s="1"/>
  <c r="DD56" i="5" s="1"/>
  <c r="CZ11" i="5"/>
  <c r="DA11" i="5" s="1"/>
  <c r="DB11" i="5" s="1"/>
  <c r="DC11" i="5" s="1"/>
  <c r="DD11" i="5" s="1"/>
  <c r="CZ16" i="5"/>
  <c r="DA16" i="5" s="1"/>
  <c r="DB16" i="5" s="1"/>
  <c r="DC16" i="5" s="1"/>
  <c r="DD16" i="5" s="1"/>
  <c r="CZ7" i="5"/>
  <c r="DA7" i="5" s="1"/>
  <c r="DB7" i="5" s="1"/>
  <c r="DC7" i="5" s="1"/>
  <c r="DD7" i="5" s="1"/>
  <c r="CZ13" i="5"/>
  <c r="DA13" i="5" s="1"/>
  <c r="DB13" i="5" s="1"/>
  <c r="DC13" i="5" s="1"/>
  <c r="DD13" i="5" s="1"/>
  <c r="CZ70" i="5"/>
  <c r="DA70" i="5" s="1"/>
  <c r="DB70" i="5" s="1"/>
  <c r="DC70" i="5" s="1"/>
  <c r="DD70" i="5" s="1"/>
  <c r="CZ63" i="5"/>
  <c r="DA63" i="5" s="1"/>
  <c r="DB63" i="5" s="1"/>
  <c r="DC63" i="5" s="1"/>
  <c r="DD63" i="5" s="1"/>
  <c r="CZ6" i="5"/>
  <c r="DA6" i="5" s="1"/>
  <c r="DB6" i="5" s="1"/>
  <c r="DC6" i="5" s="1"/>
  <c r="DD6" i="5" s="1"/>
  <c r="CZ39" i="5"/>
  <c r="DA39" i="5" s="1"/>
  <c r="DB39" i="5" s="1"/>
  <c r="DC39" i="5" s="1"/>
  <c r="DD39" i="5" s="1"/>
  <c r="CZ24" i="5"/>
  <c r="DA24" i="5" s="1"/>
  <c r="DB24" i="5" s="1"/>
  <c r="DC24" i="5" s="1"/>
  <c r="DD24" i="5" s="1"/>
  <c r="CZ21" i="5"/>
  <c r="DA21" i="5" s="1"/>
  <c r="DB21" i="5" s="1"/>
  <c r="DC21" i="5" s="1"/>
  <c r="DD21" i="5" s="1"/>
  <c r="CZ26" i="5"/>
  <c r="DA26" i="5" s="1"/>
  <c r="DB26" i="5" s="1"/>
  <c r="DC26" i="5" s="1"/>
  <c r="DD26" i="5" s="1"/>
  <c r="CZ47" i="5"/>
  <c r="DA47" i="5" s="1"/>
  <c r="DB47" i="5" s="1"/>
  <c r="DC47" i="5" s="1"/>
  <c r="DD47" i="5" s="1"/>
  <c r="CZ46" i="5"/>
  <c r="DA46" i="5" s="1"/>
  <c r="DB46" i="5" s="1"/>
  <c r="DC46" i="5" s="1"/>
  <c r="DD46" i="5" s="1"/>
  <c r="CZ42" i="5"/>
  <c r="DA42" i="5" s="1"/>
  <c r="DB42" i="5" s="1"/>
  <c r="DC42" i="5" s="1"/>
  <c r="DD42" i="5" s="1"/>
  <c r="CZ43" i="5"/>
  <c r="DA43" i="5" s="1"/>
  <c r="DB43" i="5" s="1"/>
  <c r="DC43" i="5" s="1"/>
  <c r="DD43" i="5" s="1"/>
  <c r="CZ45" i="5"/>
  <c r="DA45" i="5" s="1"/>
  <c r="DB45" i="5" s="1"/>
  <c r="DC45" i="5" s="1"/>
  <c r="DD45" i="5" s="1"/>
  <c r="CZ51" i="5"/>
  <c r="DA51" i="5" s="1"/>
  <c r="DB51" i="5" s="1"/>
  <c r="DC51" i="5" s="1"/>
  <c r="DD51" i="5" s="1"/>
  <c r="CZ50" i="5"/>
  <c r="DA50" i="5" s="1"/>
  <c r="DB50" i="5" s="1"/>
  <c r="DC50" i="5" s="1"/>
  <c r="DD50" i="5" s="1"/>
  <c r="CZ28" i="5"/>
  <c r="DA28" i="5" s="1"/>
  <c r="DB28" i="5" s="1"/>
  <c r="DC28" i="5" s="1"/>
  <c r="DD28" i="5" s="1"/>
  <c r="CZ52" i="5"/>
  <c r="DA52" i="5" s="1"/>
  <c r="DB52" i="5" s="1"/>
  <c r="DC52" i="5" s="1"/>
  <c r="DD52" i="5" s="1"/>
  <c r="CZ10" i="5"/>
  <c r="DA10" i="5" s="1"/>
  <c r="DB10" i="5" s="1"/>
  <c r="DC10" i="5" s="1"/>
  <c r="DD10" i="5" s="1"/>
  <c r="CZ36" i="5"/>
  <c r="DA36" i="5" s="1"/>
  <c r="DB36" i="5" s="1"/>
  <c r="DC36" i="5" s="1"/>
  <c r="DD36" i="5" s="1"/>
  <c r="CZ69" i="5"/>
  <c r="DA69" i="5" s="1"/>
  <c r="DB69" i="5" s="1"/>
  <c r="DC69" i="5" s="1"/>
  <c r="DD69" i="5" s="1"/>
  <c r="CZ25" i="5"/>
  <c r="DA25" i="5" s="1"/>
  <c r="DB25" i="5" s="1"/>
  <c r="DC25" i="5" s="1"/>
  <c r="DD25" i="5" s="1"/>
  <c r="CZ40" i="5"/>
  <c r="DA40" i="5" s="1"/>
  <c r="DB40" i="5" s="1"/>
  <c r="DC40" i="5" s="1"/>
  <c r="DD40" i="5" s="1"/>
  <c r="CZ67" i="5"/>
  <c r="DA67" i="5" s="1"/>
  <c r="DB67" i="5" s="1"/>
  <c r="DC67" i="5" s="1"/>
  <c r="DD67" i="5" s="1"/>
  <c r="CZ18" i="5"/>
  <c r="DA18" i="5" s="1"/>
  <c r="DB18" i="5" s="1"/>
  <c r="DC18" i="5" s="1"/>
  <c r="DD18" i="5" s="1"/>
  <c r="CZ68" i="5"/>
  <c r="DA68" i="5" s="1"/>
  <c r="DB68" i="5" s="1"/>
  <c r="DC68" i="5" s="1"/>
  <c r="DD68" i="5" s="1"/>
  <c r="CZ64" i="5"/>
  <c r="DA64" i="5" s="1"/>
  <c r="DB64" i="5" s="1"/>
  <c r="DC64" i="5" s="1"/>
  <c r="DD64" i="5" s="1"/>
  <c r="CZ48" i="5"/>
  <c r="DA48" i="5" s="1"/>
  <c r="DB48" i="5" s="1"/>
  <c r="DC48" i="5" s="1"/>
  <c r="DD48" i="5" s="1"/>
  <c r="CZ65" i="5"/>
  <c r="DA65" i="5" s="1"/>
  <c r="DB65" i="5" s="1"/>
  <c r="DC65" i="5" s="1"/>
  <c r="DD65" i="5" s="1"/>
  <c r="CZ22" i="5"/>
  <c r="DA22" i="5" s="1"/>
  <c r="DB22" i="5" s="1"/>
  <c r="DC22" i="5" s="1"/>
  <c r="DD22" i="5" s="1"/>
  <c r="CZ35" i="5"/>
  <c r="DA35" i="5" s="1"/>
  <c r="DB35" i="5" s="1"/>
  <c r="DC35" i="5" s="1"/>
  <c r="DD35" i="5" s="1"/>
  <c r="CZ66" i="5"/>
  <c r="DA66" i="5" s="1"/>
  <c r="DB66" i="5" s="1"/>
  <c r="DC66" i="5" s="1"/>
  <c r="DD66" i="5" s="1"/>
  <c r="CZ31" i="5"/>
  <c r="DA31" i="5" s="1"/>
  <c r="DB31" i="5" s="1"/>
  <c r="DC31" i="5" s="1"/>
  <c r="DD31" i="5" s="1"/>
  <c r="CZ4" i="5"/>
  <c r="DA4" i="5" s="1"/>
  <c r="DB4" i="5" s="1"/>
  <c r="DC4" i="5" s="1"/>
  <c r="DD4" i="5" s="1"/>
  <c r="CZ19" i="5"/>
  <c r="DA19" i="5" s="1"/>
  <c r="DB19" i="5" s="1"/>
  <c r="DC19" i="5" s="1"/>
  <c r="DD19" i="5" s="1"/>
  <c r="CZ32" i="5"/>
  <c r="DA32" i="5" s="1"/>
  <c r="DB32" i="5" s="1"/>
  <c r="DC32" i="5" s="1"/>
  <c r="DD32" i="5" s="1"/>
  <c r="CZ15" i="5"/>
  <c r="DA15" i="5" s="1"/>
  <c r="DB15" i="5" s="1"/>
  <c r="DC15" i="5" s="1"/>
  <c r="DD15" i="5" s="1"/>
  <c r="CZ33" i="5"/>
  <c r="DA33" i="5" s="1"/>
  <c r="DB33" i="5" s="1"/>
  <c r="DC33" i="5" s="1"/>
  <c r="DD33" i="5" s="1"/>
  <c r="CZ49" i="5"/>
  <c r="DA49" i="5" s="1"/>
  <c r="DB49" i="5" s="1"/>
  <c r="DC49" i="5" s="1"/>
  <c r="DD49" i="5" s="1"/>
  <c r="CZ30" i="5"/>
  <c r="DA30" i="5" s="1"/>
  <c r="DB30" i="5" s="1"/>
  <c r="DC30" i="5" s="1"/>
  <c r="DD30" i="5" s="1"/>
  <c r="CZ5" i="5"/>
  <c r="DA5" i="5" s="1"/>
  <c r="DB5" i="5" s="1"/>
  <c r="DC5" i="5" s="1"/>
  <c r="DD5" i="5" s="1"/>
  <c r="CZ44" i="5"/>
  <c r="DA44" i="5" s="1"/>
  <c r="DB44" i="5" s="1"/>
  <c r="DC44" i="5" s="1"/>
  <c r="DD44" i="5" s="1"/>
  <c r="DE3" i="5"/>
  <c r="CZ37" i="5"/>
  <c r="DA37" i="5" s="1"/>
  <c r="DB37" i="5" s="1"/>
  <c r="DC37" i="5" s="1"/>
  <c r="DD37" i="5" s="1"/>
  <c r="CZ38" i="5"/>
  <c r="DA38" i="5" s="1"/>
  <c r="DB38" i="5" s="1"/>
  <c r="DC38" i="5" s="1"/>
  <c r="DD38" i="5" s="1"/>
  <c r="CZ29" i="5"/>
  <c r="DA29" i="5" s="1"/>
  <c r="DB29" i="5" s="1"/>
  <c r="DC29" i="5" s="1"/>
  <c r="DD29" i="5" s="1"/>
  <c r="CZ20" i="5"/>
  <c r="DA20" i="5" s="1"/>
  <c r="DB20" i="5" s="1"/>
  <c r="DC20" i="5" s="1"/>
  <c r="DD20" i="5" s="1"/>
  <c r="CZ34" i="5"/>
  <c r="DA34" i="5" s="1"/>
  <c r="DB34" i="5" s="1"/>
  <c r="DC34" i="5" s="1"/>
  <c r="DD34" i="5" s="1"/>
  <c r="CZ14" i="5"/>
  <c r="DA14" i="5" s="1"/>
  <c r="DB14" i="5" s="1"/>
  <c r="DC14" i="5" s="1"/>
  <c r="DD14" i="5" s="1"/>
  <c r="CZ9" i="5"/>
  <c r="DA9" i="5" s="1"/>
  <c r="DB9" i="5" s="1"/>
  <c r="DC9" i="5" s="1"/>
  <c r="DD9" i="5" s="1"/>
  <c r="CZ23" i="5"/>
  <c r="DA23" i="5" s="1"/>
  <c r="DB23" i="5" s="1"/>
  <c r="DC23" i="5" s="1"/>
  <c r="DD23" i="5" s="1"/>
  <c r="DE55" i="5" l="1"/>
  <c r="DF55" i="5" s="1"/>
  <c r="DG55" i="5" s="1"/>
  <c r="DH55" i="5" s="1"/>
  <c r="DI55" i="5" s="1"/>
  <c r="DE58" i="5"/>
  <c r="DF58" i="5" s="1"/>
  <c r="DG58" i="5" s="1"/>
  <c r="DH58" i="5" s="1"/>
  <c r="DI58" i="5" s="1"/>
  <c r="DE60" i="5"/>
  <c r="DF60" i="5" s="1"/>
  <c r="DG60" i="5" s="1"/>
  <c r="DH60" i="5" s="1"/>
  <c r="DI60" i="5" s="1"/>
  <c r="DE54" i="5"/>
  <c r="DF54" i="5" s="1"/>
  <c r="DG54" i="5" s="1"/>
  <c r="DH54" i="5" s="1"/>
  <c r="DI54" i="5" s="1"/>
  <c r="DE57" i="5"/>
  <c r="DF57" i="5" s="1"/>
  <c r="DG57" i="5" s="1"/>
  <c r="DH57" i="5" s="1"/>
  <c r="DI57" i="5" s="1"/>
  <c r="DE62" i="5"/>
  <c r="DF62" i="5" s="1"/>
  <c r="DG62" i="5" s="1"/>
  <c r="DH62" i="5" s="1"/>
  <c r="DI62" i="5" s="1"/>
  <c r="DE59" i="5"/>
  <c r="DF59" i="5" s="1"/>
  <c r="DG59" i="5" s="1"/>
  <c r="DH59" i="5" s="1"/>
  <c r="DI59" i="5" s="1"/>
  <c r="DE61" i="5"/>
  <c r="DF61" i="5" s="1"/>
  <c r="DG61" i="5" s="1"/>
  <c r="DH61" i="5" s="1"/>
  <c r="DI61" i="5" s="1"/>
  <c r="DE56" i="5"/>
  <c r="DF56" i="5" s="1"/>
  <c r="DG56" i="5" s="1"/>
  <c r="DH56" i="5" s="1"/>
  <c r="DI56" i="5" s="1"/>
  <c r="DE53" i="5"/>
  <c r="DF53" i="5" s="1"/>
  <c r="DG53" i="5" s="1"/>
  <c r="DH53" i="5" s="1"/>
  <c r="DI53" i="5" s="1"/>
  <c r="DE35" i="5"/>
  <c r="DF35" i="5" s="1"/>
  <c r="DG35" i="5" s="1"/>
  <c r="DH35" i="5" s="1"/>
  <c r="DI35" i="5" s="1"/>
  <c r="DE26" i="5"/>
  <c r="DF26" i="5" s="1"/>
  <c r="DG26" i="5" s="1"/>
  <c r="DH26" i="5" s="1"/>
  <c r="DI26" i="5" s="1"/>
  <c r="DE46" i="5"/>
  <c r="DF46" i="5" s="1"/>
  <c r="DG46" i="5" s="1"/>
  <c r="DH46" i="5" s="1"/>
  <c r="DI46" i="5" s="1"/>
  <c r="DE45" i="5"/>
  <c r="DF45" i="5" s="1"/>
  <c r="DG45" i="5" s="1"/>
  <c r="DH45" i="5" s="1"/>
  <c r="DI45" i="5" s="1"/>
  <c r="DE50" i="5"/>
  <c r="DF50" i="5" s="1"/>
  <c r="DG50" i="5" s="1"/>
  <c r="DH50" i="5" s="1"/>
  <c r="DI50" i="5" s="1"/>
  <c r="DE42" i="5"/>
  <c r="DF42" i="5" s="1"/>
  <c r="DG42" i="5" s="1"/>
  <c r="DH42" i="5" s="1"/>
  <c r="DI42" i="5" s="1"/>
  <c r="DE43" i="5"/>
  <c r="DF43" i="5" s="1"/>
  <c r="DG43" i="5" s="1"/>
  <c r="DH43" i="5" s="1"/>
  <c r="DI43" i="5" s="1"/>
  <c r="DE47" i="5"/>
  <c r="DF47" i="5" s="1"/>
  <c r="DG47" i="5" s="1"/>
  <c r="DH47" i="5" s="1"/>
  <c r="DI47" i="5" s="1"/>
  <c r="DE28" i="5"/>
  <c r="DF28" i="5" s="1"/>
  <c r="DG28" i="5" s="1"/>
  <c r="DH28" i="5" s="1"/>
  <c r="DI28" i="5" s="1"/>
  <c r="DE51" i="5"/>
  <c r="DF51" i="5" s="1"/>
  <c r="DG51" i="5" s="1"/>
  <c r="DH51" i="5" s="1"/>
  <c r="DI51" i="5" s="1"/>
  <c r="DE39" i="5"/>
  <c r="DF39" i="5" s="1"/>
  <c r="DG39" i="5" s="1"/>
  <c r="DH39" i="5" s="1"/>
  <c r="DI39" i="5" s="1"/>
  <c r="DE34" i="5"/>
  <c r="DF34" i="5" s="1"/>
  <c r="DG34" i="5" s="1"/>
  <c r="DH34" i="5" s="1"/>
  <c r="DI34" i="5" s="1"/>
  <c r="DE68" i="5"/>
  <c r="DF68" i="5" s="1"/>
  <c r="DG68" i="5" s="1"/>
  <c r="DH68" i="5" s="1"/>
  <c r="DI68" i="5" s="1"/>
  <c r="DE23" i="5"/>
  <c r="DF23" i="5" s="1"/>
  <c r="DG23" i="5" s="1"/>
  <c r="DH23" i="5" s="1"/>
  <c r="DI23" i="5" s="1"/>
  <c r="DE69" i="5"/>
  <c r="DF69" i="5" s="1"/>
  <c r="DG69" i="5" s="1"/>
  <c r="DH69" i="5" s="1"/>
  <c r="DI69" i="5" s="1"/>
  <c r="DJ3" i="5"/>
  <c r="DE64" i="5"/>
  <c r="DF64" i="5" s="1"/>
  <c r="DG64" i="5" s="1"/>
  <c r="DH64" i="5" s="1"/>
  <c r="DI64" i="5" s="1"/>
  <c r="DE9" i="5"/>
  <c r="DF9" i="5" s="1"/>
  <c r="DG9" i="5" s="1"/>
  <c r="DH9" i="5" s="1"/>
  <c r="DI9" i="5" s="1"/>
  <c r="DE48" i="5"/>
  <c r="DF48" i="5" s="1"/>
  <c r="DG48" i="5" s="1"/>
  <c r="DH48" i="5" s="1"/>
  <c r="DI48" i="5" s="1"/>
  <c r="DE66" i="5"/>
  <c r="DF66" i="5" s="1"/>
  <c r="DG66" i="5" s="1"/>
  <c r="DH66" i="5" s="1"/>
  <c r="DI66" i="5" s="1"/>
  <c r="DE10" i="5"/>
  <c r="DF10" i="5" s="1"/>
  <c r="DG10" i="5" s="1"/>
  <c r="DH10" i="5" s="1"/>
  <c r="DI10" i="5" s="1"/>
  <c r="DE30" i="5"/>
  <c r="DF30" i="5" s="1"/>
  <c r="DG30" i="5" s="1"/>
  <c r="DH30" i="5" s="1"/>
  <c r="DI30" i="5" s="1"/>
  <c r="DE63" i="5"/>
  <c r="DF63" i="5" s="1"/>
  <c r="DG63" i="5" s="1"/>
  <c r="DH63" i="5" s="1"/>
  <c r="DI63" i="5" s="1"/>
  <c r="DE31" i="5"/>
  <c r="DF31" i="5" s="1"/>
  <c r="DG31" i="5" s="1"/>
  <c r="DH31" i="5" s="1"/>
  <c r="DI31" i="5" s="1"/>
  <c r="DE12" i="5"/>
  <c r="DF12" i="5" s="1"/>
  <c r="DG12" i="5" s="1"/>
  <c r="DH12" i="5" s="1"/>
  <c r="DI12" i="5" s="1"/>
  <c r="DE11" i="5"/>
  <c r="DF11" i="5" s="1"/>
  <c r="DG11" i="5" s="1"/>
  <c r="DH11" i="5" s="1"/>
  <c r="DI11" i="5" s="1"/>
  <c r="DE16" i="5"/>
  <c r="DF16" i="5" s="1"/>
  <c r="DG16" i="5" s="1"/>
  <c r="DH16" i="5" s="1"/>
  <c r="DI16" i="5" s="1"/>
  <c r="DE6" i="5"/>
  <c r="DF6" i="5" s="1"/>
  <c r="DG6" i="5" s="1"/>
  <c r="DH6" i="5" s="1"/>
  <c r="DI6" i="5" s="1"/>
  <c r="DE21" i="5"/>
  <c r="DF21" i="5" s="1"/>
  <c r="DG21" i="5" s="1"/>
  <c r="DH21" i="5" s="1"/>
  <c r="DI21" i="5" s="1"/>
  <c r="DE67" i="5"/>
  <c r="DF67" i="5" s="1"/>
  <c r="DG67" i="5" s="1"/>
  <c r="DH67" i="5" s="1"/>
  <c r="DI67" i="5" s="1"/>
  <c r="DE13" i="5"/>
  <c r="DF13" i="5" s="1"/>
  <c r="DG13" i="5" s="1"/>
  <c r="DH13" i="5" s="1"/>
  <c r="DI13" i="5" s="1"/>
  <c r="DE14" i="5"/>
  <c r="DF14" i="5" s="1"/>
  <c r="DG14" i="5" s="1"/>
  <c r="DH14" i="5" s="1"/>
  <c r="DI14" i="5" s="1"/>
  <c r="DE41" i="5"/>
  <c r="DF41" i="5" s="1"/>
  <c r="DG41" i="5" s="1"/>
  <c r="DH41" i="5" s="1"/>
  <c r="DI41" i="5" s="1"/>
  <c r="DE4" i="5"/>
  <c r="DF4" i="5" s="1"/>
  <c r="DG4" i="5" s="1"/>
  <c r="DH4" i="5" s="1"/>
  <c r="DI4" i="5" s="1"/>
  <c r="DE44" i="5"/>
  <c r="DF44" i="5" s="1"/>
  <c r="DG44" i="5" s="1"/>
  <c r="DH44" i="5" s="1"/>
  <c r="DI44" i="5" s="1"/>
  <c r="DE24" i="5"/>
  <c r="DF24" i="5" s="1"/>
  <c r="DG24" i="5" s="1"/>
  <c r="DH24" i="5" s="1"/>
  <c r="DI24" i="5" s="1"/>
  <c r="DE49" i="5"/>
  <c r="DF49" i="5" s="1"/>
  <c r="DG49" i="5" s="1"/>
  <c r="DH49" i="5" s="1"/>
  <c r="DI49" i="5" s="1"/>
  <c r="DE8" i="5"/>
  <c r="DF8" i="5" s="1"/>
  <c r="DG8" i="5" s="1"/>
  <c r="DH8" i="5" s="1"/>
  <c r="DI8" i="5" s="1"/>
  <c r="DE65" i="5"/>
  <c r="DF65" i="5" s="1"/>
  <c r="DG65" i="5" s="1"/>
  <c r="DH65" i="5" s="1"/>
  <c r="DI65" i="5" s="1"/>
  <c r="DE40" i="5"/>
  <c r="DF40" i="5" s="1"/>
  <c r="DG40" i="5" s="1"/>
  <c r="DH40" i="5" s="1"/>
  <c r="DI40" i="5" s="1"/>
  <c r="DE17" i="5"/>
  <c r="DF17" i="5" s="1"/>
  <c r="DG17" i="5" s="1"/>
  <c r="DH17" i="5" s="1"/>
  <c r="DI17" i="5" s="1"/>
  <c r="DE32" i="5"/>
  <c r="DF32" i="5" s="1"/>
  <c r="DG32" i="5" s="1"/>
  <c r="DH32" i="5" s="1"/>
  <c r="DI32" i="5" s="1"/>
  <c r="DE7" i="5"/>
  <c r="DF7" i="5" s="1"/>
  <c r="DG7" i="5" s="1"/>
  <c r="DH7" i="5" s="1"/>
  <c r="DI7" i="5" s="1"/>
  <c r="DE20" i="5"/>
  <c r="DF20" i="5" s="1"/>
  <c r="DG20" i="5" s="1"/>
  <c r="DH20" i="5" s="1"/>
  <c r="DI20" i="5" s="1"/>
  <c r="DE36" i="5"/>
  <c r="DF36" i="5" s="1"/>
  <c r="DG36" i="5" s="1"/>
  <c r="DH36" i="5" s="1"/>
  <c r="DI36" i="5" s="1"/>
  <c r="DE15" i="5"/>
  <c r="DF15" i="5" s="1"/>
  <c r="DG15" i="5" s="1"/>
  <c r="DH15" i="5" s="1"/>
  <c r="DI15" i="5" s="1"/>
  <c r="DE25" i="5"/>
  <c r="DF25" i="5" s="1"/>
  <c r="DG25" i="5" s="1"/>
  <c r="DH25" i="5" s="1"/>
  <c r="DI25" i="5" s="1"/>
  <c r="DE33" i="5"/>
  <c r="DF33" i="5" s="1"/>
  <c r="DG33" i="5" s="1"/>
  <c r="DH33" i="5" s="1"/>
  <c r="DI33" i="5" s="1"/>
  <c r="DE29" i="5"/>
  <c r="DF29" i="5" s="1"/>
  <c r="DG29" i="5" s="1"/>
  <c r="DH29" i="5" s="1"/>
  <c r="DI29" i="5" s="1"/>
  <c r="DE38" i="5"/>
  <c r="DF38" i="5" s="1"/>
  <c r="DG38" i="5" s="1"/>
  <c r="DH38" i="5" s="1"/>
  <c r="DI38" i="5" s="1"/>
  <c r="DE37" i="5"/>
  <c r="DF37" i="5" s="1"/>
  <c r="DG37" i="5" s="1"/>
  <c r="DH37" i="5" s="1"/>
  <c r="DI37" i="5" s="1"/>
  <c r="DE19" i="5"/>
  <c r="DF19" i="5" s="1"/>
  <c r="DG19" i="5" s="1"/>
  <c r="DH19" i="5" s="1"/>
  <c r="DI19" i="5" s="1"/>
  <c r="DE70" i="5"/>
  <c r="DF70" i="5" s="1"/>
  <c r="DG70" i="5" s="1"/>
  <c r="DH70" i="5" s="1"/>
  <c r="DI70" i="5" s="1"/>
  <c r="DE18" i="5"/>
  <c r="DF18" i="5" s="1"/>
  <c r="DG18" i="5" s="1"/>
  <c r="DH18" i="5" s="1"/>
  <c r="DI18" i="5" s="1"/>
  <c r="DE22" i="5"/>
  <c r="DF22" i="5" s="1"/>
  <c r="DG22" i="5" s="1"/>
  <c r="DH22" i="5" s="1"/>
  <c r="DI22" i="5" s="1"/>
  <c r="DE5" i="5"/>
  <c r="DF5" i="5" s="1"/>
  <c r="DG5" i="5" s="1"/>
  <c r="DH5" i="5" s="1"/>
  <c r="DI5" i="5" s="1"/>
  <c r="DE52" i="5"/>
  <c r="DF52" i="5" s="1"/>
  <c r="DG52" i="5" s="1"/>
  <c r="DH52" i="5" s="1"/>
  <c r="DI52" i="5" s="1"/>
  <c r="DJ58" i="5" l="1"/>
  <c r="DK58" i="5" s="1"/>
  <c r="DL58" i="5" s="1"/>
  <c r="DM58" i="5" s="1"/>
  <c r="DN58" i="5" s="1"/>
  <c r="DJ60" i="5"/>
  <c r="DK60" i="5" s="1"/>
  <c r="DL60" i="5" s="1"/>
  <c r="DM60" i="5" s="1"/>
  <c r="DN60" i="5" s="1"/>
  <c r="DJ54" i="5"/>
  <c r="DK54" i="5" s="1"/>
  <c r="DL54" i="5" s="1"/>
  <c r="DM54" i="5" s="1"/>
  <c r="DN54" i="5" s="1"/>
  <c r="DJ57" i="5"/>
  <c r="DK57" i="5" s="1"/>
  <c r="DL57" i="5" s="1"/>
  <c r="DM57" i="5" s="1"/>
  <c r="DN57" i="5" s="1"/>
  <c r="DJ62" i="5"/>
  <c r="DK62" i="5" s="1"/>
  <c r="DL62" i="5" s="1"/>
  <c r="DM62" i="5" s="1"/>
  <c r="DN62" i="5" s="1"/>
  <c r="DJ59" i="5"/>
  <c r="DK59" i="5" s="1"/>
  <c r="DL59" i="5" s="1"/>
  <c r="DM59" i="5" s="1"/>
  <c r="DN59" i="5" s="1"/>
  <c r="DJ56" i="5"/>
  <c r="DK56" i="5" s="1"/>
  <c r="DL56" i="5" s="1"/>
  <c r="DM56" i="5" s="1"/>
  <c r="DN56" i="5" s="1"/>
  <c r="DJ61" i="5"/>
  <c r="DK61" i="5" s="1"/>
  <c r="DL61" i="5" s="1"/>
  <c r="DM61" i="5" s="1"/>
  <c r="DN61" i="5" s="1"/>
  <c r="DJ55" i="5"/>
  <c r="DK55" i="5" s="1"/>
  <c r="DL55" i="5" s="1"/>
  <c r="DM55" i="5" s="1"/>
  <c r="DN55" i="5" s="1"/>
  <c r="DJ53" i="5"/>
  <c r="DK53" i="5" s="1"/>
  <c r="DL53" i="5" s="1"/>
  <c r="DM53" i="5" s="1"/>
  <c r="DN53" i="5" s="1"/>
  <c r="DJ44" i="5"/>
  <c r="DK44" i="5" s="1"/>
  <c r="DL44" i="5" s="1"/>
  <c r="DM44" i="5" s="1"/>
  <c r="DN44" i="5" s="1"/>
  <c r="DJ14" i="5"/>
  <c r="DK14" i="5" s="1"/>
  <c r="DL14" i="5" s="1"/>
  <c r="DM14" i="5" s="1"/>
  <c r="DN14" i="5" s="1"/>
  <c r="DJ20" i="5"/>
  <c r="DK20" i="5" s="1"/>
  <c r="DL20" i="5" s="1"/>
  <c r="DM20" i="5" s="1"/>
  <c r="DN20" i="5" s="1"/>
  <c r="DJ35" i="5"/>
  <c r="DK35" i="5" s="1"/>
  <c r="DL35" i="5" s="1"/>
  <c r="DM35" i="5" s="1"/>
  <c r="DN35" i="5" s="1"/>
  <c r="DJ68" i="5"/>
  <c r="DK68" i="5" s="1"/>
  <c r="DL68" i="5" s="1"/>
  <c r="DM68" i="5" s="1"/>
  <c r="DN68" i="5" s="1"/>
  <c r="DJ38" i="5"/>
  <c r="DK38" i="5" s="1"/>
  <c r="DL38" i="5" s="1"/>
  <c r="DM38" i="5" s="1"/>
  <c r="DN38" i="5" s="1"/>
  <c r="DO3" i="5"/>
  <c r="DJ37" i="5"/>
  <c r="DK37" i="5" s="1"/>
  <c r="DL37" i="5" s="1"/>
  <c r="DM37" i="5" s="1"/>
  <c r="DN37" i="5" s="1"/>
  <c r="DJ11" i="5"/>
  <c r="DK11" i="5" s="1"/>
  <c r="DL11" i="5" s="1"/>
  <c r="DM11" i="5" s="1"/>
  <c r="DN11" i="5" s="1"/>
  <c r="DJ29" i="5"/>
  <c r="DK29" i="5" s="1"/>
  <c r="DL29" i="5" s="1"/>
  <c r="DM29" i="5" s="1"/>
  <c r="DN29" i="5" s="1"/>
  <c r="DJ25" i="5"/>
  <c r="DK25" i="5" s="1"/>
  <c r="DL25" i="5" s="1"/>
  <c r="DM25" i="5" s="1"/>
  <c r="DN25" i="5" s="1"/>
  <c r="DJ32" i="5"/>
  <c r="DK32" i="5" s="1"/>
  <c r="DL32" i="5" s="1"/>
  <c r="DM32" i="5" s="1"/>
  <c r="DN32" i="5" s="1"/>
  <c r="DJ7" i="5"/>
  <c r="DK7" i="5" s="1"/>
  <c r="DL7" i="5" s="1"/>
  <c r="DM7" i="5" s="1"/>
  <c r="DN7" i="5" s="1"/>
  <c r="DJ64" i="5"/>
  <c r="DK64" i="5" s="1"/>
  <c r="DL64" i="5" s="1"/>
  <c r="DM64" i="5" s="1"/>
  <c r="DN64" i="5" s="1"/>
  <c r="DJ15" i="5"/>
  <c r="DK15" i="5" s="1"/>
  <c r="DL15" i="5" s="1"/>
  <c r="DM15" i="5" s="1"/>
  <c r="DN15" i="5" s="1"/>
  <c r="DJ13" i="5"/>
  <c r="DK13" i="5" s="1"/>
  <c r="DL13" i="5" s="1"/>
  <c r="DM13" i="5" s="1"/>
  <c r="DN13" i="5" s="1"/>
  <c r="DJ67" i="5"/>
  <c r="DK67" i="5" s="1"/>
  <c r="DL67" i="5" s="1"/>
  <c r="DM67" i="5" s="1"/>
  <c r="DN67" i="5" s="1"/>
  <c r="DJ52" i="5"/>
  <c r="DK52" i="5" s="1"/>
  <c r="DL52" i="5" s="1"/>
  <c r="DM52" i="5" s="1"/>
  <c r="DN52" i="5" s="1"/>
  <c r="DJ34" i="5"/>
  <c r="DK34" i="5" s="1"/>
  <c r="DL34" i="5" s="1"/>
  <c r="DM34" i="5" s="1"/>
  <c r="DN34" i="5" s="1"/>
  <c r="DJ9" i="5"/>
  <c r="DK9" i="5" s="1"/>
  <c r="DL9" i="5" s="1"/>
  <c r="DM9" i="5" s="1"/>
  <c r="DN9" i="5" s="1"/>
  <c r="DJ4" i="5"/>
  <c r="DK4" i="5" s="1"/>
  <c r="DL4" i="5" s="1"/>
  <c r="DM4" i="5" s="1"/>
  <c r="DN4" i="5" s="1"/>
  <c r="DJ8" i="5"/>
  <c r="DK8" i="5" s="1"/>
  <c r="DL8" i="5" s="1"/>
  <c r="DM8" i="5" s="1"/>
  <c r="DN8" i="5" s="1"/>
  <c r="DJ18" i="5"/>
  <c r="DK18" i="5" s="1"/>
  <c r="DL18" i="5" s="1"/>
  <c r="DM18" i="5" s="1"/>
  <c r="DN18" i="5" s="1"/>
  <c r="DJ10" i="5"/>
  <c r="DK10" i="5" s="1"/>
  <c r="DL10" i="5" s="1"/>
  <c r="DM10" i="5" s="1"/>
  <c r="DN10" i="5" s="1"/>
  <c r="DJ12" i="5"/>
  <c r="DK12" i="5" s="1"/>
  <c r="DL12" i="5" s="1"/>
  <c r="DM12" i="5" s="1"/>
  <c r="DN12" i="5" s="1"/>
  <c r="DJ17" i="5"/>
  <c r="DK17" i="5" s="1"/>
  <c r="DL17" i="5" s="1"/>
  <c r="DM17" i="5" s="1"/>
  <c r="DN17" i="5" s="1"/>
  <c r="DJ19" i="5"/>
  <c r="DK19" i="5" s="1"/>
  <c r="DL19" i="5" s="1"/>
  <c r="DM19" i="5" s="1"/>
  <c r="DN19" i="5" s="1"/>
  <c r="DJ6" i="5"/>
  <c r="DK6" i="5" s="1"/>
  <c r="DL6" i="5" s="1"/>
  <c r="DM6" i="5" s="1"/>
  <c r="DN6" i="5" s="1"/>
  <c r="DJ48" i="5"/>
  <c r="DK48" i="5" s="1"/>
  <c r="DL48" i="5" s="1"/>
  <c r="DM48" i="5" s="1"/>
  <c r="DN48" i="5" s="1"/>
  <c r="DJ31" i="5"/>
  <c r="DK31" i="5" s="1"/>
  <c r="DL31" i="5" s="1"/>
  <c r="DM31" i="5" s="1"/>
  <c r="DN31" i="5" s="1"/>
  <c r="DJ30" i="5"/>
  <c r="DK30" i="5" s="1"/>
  <c r="DL30" i="5" s="1"/>
  <c r="DM30" i="5" s="1"/>
  <c r="DN30" i="5" s="1"/>
  <c r="DJ16" i="5"/>
  <c r="DK16" i="5" s="1"/>
  <c r="DL16" i="5" s="1"/>
  <c r="DM16" i="5" s="1"/>
  <c r="DN16" i="5" s="1"/>
  <c r="DJ70" i="5"/>
  <c r="DK70" i="5" s="1"/>
  <c r="DL70" i="5" s="1"/>
  <c r="DM70" i="5" s="1"/>
  <c r="DN70" i="5" s="1"/>
  <c r="DJ49" i="5"/>
  <c r="DK49" i="5" s="1"/>
  <c r="DL49" i="5" s="1"/>
  <c r="DM49" i="5" s="1"/>
  <c r="DN49" i="5" s="1"/>
  <c r="DJ22" i="5"/>
  <c r="DK22" i="5" s="1"/>
  <c r="DL22" i="5" s="1"/>
  <c r="DM22" i="5" s="1"/>
  <c r="DN22" i="5" s="1"/>
  <c r="DJ69" i="5"/>
  <c r="DK69" i="5" s="1"/>
  <c r="DL69" i="5" s="1"/>
  <c r="DM69" i="5" s="1"/>
  <c r="DN69" i="5" s="1"/>
  <c r="DJ45" i="5"/>
  <c r="DK45" i="5" s="1"/>
  <c r="DL45" i="5" s="1"/>
  <c r="DM45" i="5" s="1"/>
  <c r="DN45" i="5" s="1"/>
  <c r="DJ51" i="5"/>
  <c r="DK51" i="5" s="1"/>
  <c r="DL51" i="5" s="1"/>
  <c r="DM51" i="5" s="1"/>
  <c r="DN51" i="5" s="1"/>
  <c r="DJ47" i="5"/>
  <c r="DK47" i="5" s="1"/>
  <c r="DL47" i="5" s="1"/>
  <c r="DM47" i="5" s="1"/>
  <c r="DN47" i="5" s="1"/>
  <c r="DJ42" i="5"/>
  <c r="DK42" i="5" s="1"/>
  <c r="DL42" i="5" s="1"/>
  <c r="DM42" i="5" s="1"/>
  <c r="DN42" i="5" s="1"/>
  <c r="DJ43" i="5"/>
  <c r="DK43" i="5" s="1"/>
  <c r="DL43" i="5" s="1"/>
  <c r="DM43" i="5" s="1"/>
  <c r="DN43" i="5" s="1"/>
  <c r="DJ26" i="5"/>
  <c r="DK26" i="5" s="1"/>
  <c r="DL26" i="5" s="1"/>
  <c r="DM26" i="5" s="1"/>
  <c r="DN26" i="5" s="1"/>
  <c r="DJ46" i="5"/>
  <c r="DK46" i="5" s="1"/>
  <c r="DL46" i="5" s="1"/>
  <c r="DM46" i="5" s="1"/>
  <c r="DN46" i="5" s="1"/>
  <c r="DJ50" i="5"/>
  <c r="DK50" i="5" s="1"/>
  <c r="DL50" i="5" s="1"/>
  <c r="DM50" i="5" s="1"/>
  <c r="DN50" i="5" s="1"/>
  <c r="DJ28" i="5"/>
  <c r="DK28" i="5" s="1"/>
  <c r="DL28" i="5" s="1"/>
  <c r="DM28" i="5" s="1"/>
  <c r="DN28" i="5" s="1"/>
  <c r="DO69" i="5"/>
  <c r="DP69" i="5" s="1"/>
  <c r="DQ69" i="5" s="1"/>
  <c r="DR69" i="5" s="1"/>
  <c r="DS69" i="5" s="1"/>
  <c r="DO26" i="5"/>
  <c r="DP26" i="5" s="1"/>
  <c r="DQ26" i="5" s="1"/>
  <c r="DR26" i="5" s="1"/>
  <c r="DS26" i="5" s="1"/>
  <c r="DO46" i="5"/>
  <c r="DP46" i="5" s="1"/>
  <c r="DQ46" i="5" s="1"/>
  <c r="DR46" i="5" s="1"/>
  <c r="DS46" i="5" s="1"/>
  <c r="DO42" i="5"/>
  <c r="DP42" i="5" s="1"/>
  <c r="DQ42" i="5" s="1"/>
  <c r="DR42" i="5" s="1"/>
  <c r="DS42" i="5" s="1"/>
  <c r="DO45" i="5"/>
  <c r="DP45" i="5" s="1"/>
  <c r="DQ45" i="5" s="1"/>
  <c r="DR45" i="5" s="1"/>
  <c r="DS45" i="5" s="1"/>
  <c r="DO50" i="5"/>
  <c r="DP50" i="5" s="1"/>
  <c r="DQ50" i="5" s="1"/>
  <c r="DR50" i="5" s="1"/>
  <c r="DS50" i="5" s="1"/>
  <c r="DO43" i="5"/>
  <c r="DP43" i="5" s="1"/>
  <c r="DQ43" i="5" s="1"/>
  <c r="DR43" i="5" s="1"/>
  <c r="DS43" i="5" s="1"/>
  <c r="DJ21" i="5"/>
  <c r="DK21" i="5" s="1"/>
  <c r="DL21" i="5" s="1"/>
  <c r="DM21" i="5" s="1"/>
  <c r="DN21" i="5" s="1"/>
  <c r="DJ65" i="5"/>
  <c r="DK65" i="5" s="1"/>
  <c r="DL65" i="5" s="1"/>
  <c r="DM65" i="5" s="1"/>
  <c r="DN65" i="5" s="1"/>
  <c r="DJ23" i="5"/>
  <c r="DK23" i="5" s="1"/>
  <c r="DL23" i="5" s="1"/>
  <c r="DM23" i="5" s="1"/>
  <c r="DN23" i="5" s="1"/>
  <c r="DJ33" i="5"/>
  <c r="DK33" i="5" s="1"/>
  <c r="DL33" i="5" s="1"/>
  <c r="DM33" i="5" s="1"/>
  <c r="DN33" i="5" s="1"/>
  <c r="DJ36" i="5"/>
  <c r="DK36" i="5" s="1"/>
  <c r="DL36" i="5" s="1"/>
  <c r="DM36" i="5" s="1"/>
  <c r="DN36" i="5" s="1"/>
  <c r="DJ40" i="5"/>
  <c r="DK40" i="5" s="1"/>
  <c r="DL40" i="5" s="1"/>
  <c r="DM40" i="5" s="1"/>
  <c r="DN40" i="5" s="1"/>
  <c r="DJ66" i="5"/>
  <c r="DK66" i="5" s="1"/>
  <c r="DL66" i="5" s="1"/>
  <c r="DM66" i="5" s="1"/>
  <c r="DN66" i="5" s="1"/>
  <c r="DJ5" i="5"/>
  <c r="DK5" i="5" s="1"/>
  <c r="DL5" i="5" s="1"/>
  <c r="DM5" i="5" s="1"/>
  <c r="DN5" i="5" s="1"/>
  <c r="DJ39" i="5"/>
  <c r="DK39" i="5" s="1"/>
  <c r="DL39" i="5" s="1"/>
  <c r="DM39" i="5" s="1"/>
  <c r="DN39" i="5" s="1"/>
  <c r="DJ63" i="5"/>
  <c r="DK63" i="5" s="1"/>
  <c r="DL63" i="5" s="1"/>
  <c r="DM63" i="5" s="1"/>
  <c r="DN63" i="5" s="1"/>
  <c r="DJ41" i="5"/>
  <c r="DK41" i="5" s="1"/>
  <c r="DL41" i="5" s="1"/>
  <c r="DM41" i="5" s="1"/>
  <c r="DN41" i="5" s="1"/>
  <c r="DJ24" i="5"/>
  <c r="DK24" i="5" s="1"/>
  <c r="DL24" i="5" s="1"/>
  <c r="DM24" i="5" s="1"/>
  <c r="DN24" i="5" s="1"/>
  <c r="DO37" i="5"/>
  <c r="DP37" i="5" s="1"/>
  <c r="DQ37" i="5" s="1"/>
  <c r="DR37" i="5" s="1"/>
  <c r="DS37" i="5" s="1"/>
  <c r="DO29" i="5"/>
  <c r="DP29" i="5" s="1"/>
  <c r="DQ29" i="5" s="1"/>
  <c r="DR29" i="5" s="1"/>
  <c r="DS29" i="5" s="1"/>
  <c r="DO38" i="5"/>
  <c r="DP38" i="5" s="1"/>
  <c r="DQ38" i="5" s="1"/>
  <c r="DR38" i="5" s="1"/>
  <c r="DS38" i="5" s="1"/>
  <c r="DO22" i="5"/>
  <c r="DP22" i="5" s="1"/>
  <c r="DQ22" i="5" s="1"/>
  <c r="DR22" i="5" s="1"/>
  <c r="DS22" i="5" s="1"/>
  <c r="DO23" i="5"/>
  <c r="DP23" i="5" s="1"/>
  <c r="DQ23" i="5" s="1"/>
  <c r="DR23" i="5" s="1"/>
  <c r="DS23" i="5" s="1"/>
  <c r="DO36" i="5"/>
  <c r="DP36" i="5" s="1"/>
  <c r="DQ36" i="5" s="1"/>
  <c r="DR36" i="5" s="1"/>
  <c r="DS36" i="5" s="1"/>
  <c r="DO16" i="5"/>
  <c r="DP16" i="5" s="1"/>
  <c r="DQ16" i="5" s="1"/>
  <c r="DR16" i="5" s="1"/>
  <c r="DS16" i="5" s="1"/>
  <c r="DO17" i="5"/>
  <c r="DP17" i="5" s="1"/>
  <c r="DQ17" i="5" s="1"/>
  <c r="DR17" i="5" s="1"/>
  <c r="DS17" i="5" s="1"/>
  <c r="DO11" i="5"/>
  <c r="DP11" i="5" s="1"/>
  <c r="DQ11" i="5" s="1"/>
  <c r="DR11" i="5" s="1"/>
  <c r="DS11" i="5" s="1"/>
  <c r="DO8" i="5"/>
  <c r="DP8" i="5" s="1"/>
  <c r="DQ8" i="5" s="1"/>
  <c r="DR8" i="5" s="1"/>
  <c r="DS8" i="5" s="1"/>
  <c r="DT3" i="5"/>
  <c r="DO18" i="5"/>
  <c r="DP18" i="5" s="1"/>
  <c r="DQ18" i="5" s="1"/>
  <c r="DR18" i="5" s="1"/>
  <c r="DS18" i="5" s="1"/>
  <c r="DO52" i="5"/>
  <c r="DP52" i="5" s="1"/>
  <c r="DQ52" i="5" s="1"/>
  <c r="DR52" i="5" s="1"/>
  <c r="DS52" i="5" s="1"/>
  <c r="DO32" i="5"/>
  <c r="DP32" i="5" s="1"/>
  <c r="DQ32" i="5" s="1"/>
  <c r="DR32" i="5" s="1"/>
  <c r="DS32" i="5" s="1"/>
  <c r="DO15" i="5"/>
  <c r="DP15" i="5" s="1"/>
  <c r="DQ15" i="5" s="1"/>
  <c r="DR15" i="5" s="1"/>
  <c r="DS15" i="5" s="1"/>
  <c r="DO49" i="5"/>
  <c r="DP49" i="5" s="1"/>
  <c r="DQ49" i="5" s="1"/>
  <c r="DR49" i="5" s="1"/>
  <c r="DS49" i="5" s="1"/>
  <c r="DO31" i="5"/>
  <c r="DP31" i="5" s="1"/>
  <c r="DQ31" i="5" s="1"/>
  <c r="DR31" i="5" s="1"/>
  <c r="DS31" i="5" s="1"/>
  <c r="DO14" i="5"/>
  <c r="DP14" i="5" s="1"/>
  <c r="DQ14" i="5" s="1"/>
  <c r="DR14" i="5" s="1"/>
  <c r="DS14" i="5" s="1"/>
  <c r="DO65" i="5"/>
  <c r="DP65" i="5" s="1"/>
  <c r="DQ65" i="5" s="1"/>
  <c r="DR65" i="5" s="1"/>
  <c r="DS65" i="5" s="1"/>
  <c r="DO40" i="5"/>
  <c r="DP40" i="5" s="1"/>
  <c r="DQ40" i="5" s="1"/>
  <c r="DR40" i="5" s="1"/>
  <c r="DS40" i="5" s="1"/>
  <c r="DO19" i="5"/>
  <c r="DP19" i="5" s="1"/>
  <c r="DQ19" i="5" s="1"/>
  <c r="DR19" i="5" s="1"/>
  <c r="DS19" i="5" s="1"/>
  <c r="DO63" i="5"/>
  <c r="DP63" i="5" s="1"/>
  <c r="DQ63" i="5" s="1"/>
  <c r="DR63" i="5" s="1"/>
  <c r="DS63" i="5" s="1"/>
  <c r="DO21" i="5"/>
  <c r="DP21" i="5" s="1"/>
  <c r="DQ21" i="5" s="1"/>
  <c r="DR21" i="5" s="1"/>
  <c r="DS21" i="5" s="1"/>
  <c r="DO48" i="5"/>
  <c r="DP48" i="5" s="1"/>
  <c r="DQ48" i="5" s="1"/>
  <c r="DR48" i="5" s="1"/>
  <c r="DS48" i="5" s="1"/>
  <c r="DO44" i="5"/>
  <c r="DP44" i="5" s="1"/>
  <c r="DQ44" i="5" s="1"/>
  <c r="DR44" i="5" s="1"/>
  <c r="DS44" i="5" s="1"/>
  <c r="DO41" i="5"/>
  <c r="DP41" i="5" s="1"/>
  <c r="DQ41" i="5" s="1"/>
  <c r="DR41" i="5" s="1"/>
  <c r="DS41" i="5" s="1"/>
  <c r="DO39" i="5"/>
  <c r="DP39" i="5" s="1"/>
  <c r="DQ39" i="5" s="1"/>
  <c r="DR39" i="5" s="1"/>
  <c r="DS39" i="5" s="1"/>
  <c r="DO66" i="5"/>
  <c r="DP66" i="5" s="1"/>
  <c r="DQ66" i="5" s="1"/>
  <c r="DR66" i="5" s="1"/>
  <c r="DS66" i="5" s="1"/>
  <c r="DO5" i="5"/>
  <c r="DP5" i="5" s="1"/>
  <c r="DQ5" i="5" s="1"/>
  <c r="DR5" i="5" s="1"/>
  <c r="DS5" i="5" s="1"/>
  <c r="DO64" i="5"/>
  <c r="DP64" i="5" s="1"/>
  <c r="DQ64" i="5" s="1"/>
  <c r="DR64" i="5" s="1"/>
  <c r="DS64" i="5" s="1"/>
  <c r="DO35" i="5"/>
  <c r="DP35" i="5" s="1"/>
  <c r="DQ35" i="5" s="1"/>
  <c r="DR35" i="5" s="1"/>
  <c r="DS35" i="5" s="1"/>
  <c r="DO33" i="5"/>
  <c r="DP33" i="5" s="1"/>
  <c r="DQ33" i="5" s="1"/>
  <c r="DR33" i="5" s="1"/>
  <c r="DS33" i="5" s="1"/>
  <c r="DO24" i="5"/>
  <c r="DP24" i="5" s="1"/>
  <c r="DQ24" i="5" s="1"/>
  <c r="DR24" i="5" s="1"/>
  <c r="DS24" i="5" s="1"/>
  <c r="DO67" i="5"/>
  <c r="DP67" i="5" s="1"/>
  <c r="DQ67" i="5" s="1"/>
  <c r="DR67" i="5" s="1"/>
  <c r="DS67" i="5" s="1"/>
  <c r="DO6" i="5"/>
  <c r="DP6" i="5" s="1"/>
  <c r="DQ6" i="5" s="1"/>
  <c r="DR6" i="5" s="1"/>
  <c r="DS6" i="5" s="1"/>
  <c r="DO4" i="5"/>
  <c r="DP4" i="5" s="1"/>
  <c r="DQ4" i="5" s="1"/>
  <c r="DR4" i="5" s="1"/>
  <c r="DS4" i="5" s="1"/>
  <c r="DO34" i="5"/>
  <c r="DP34" i="5" s="1"/>
  <c r="DQ34" i="5" s="1"/>
  <c r="DR34" i="5" s="1"/>
  <c r="DS34" i="5" s="1"/>
  <c r="DO25" i="5"/>
  <c r="DP25" i="5" s="1"/>
  <c r="DQ25" i="5" s="1"/>
  <c r="DR25" i="5" s="1"/>
  <c r="DS25" i="5" s="1"/>
  <c r="DT54" i="5" l="1"/>
  <c r="DU54" i="5" s="1"/>
  <c r="DV54" i="5" s="1"/>
  <c r="DW54" i="5" s="1"/>
  <c r="DX54" i="5" s="1"/>
  <c r="DT56" i="5"/>
  <c r="DU56" i="5" s="1"/>
  <c r="DV56" i="5" s="1"/>
  <c r="DW56" i="5" s="1"/>
  <c r="DX56" i="5" s="1"/>
  <c r="DT60" i="5"/>
  <c r="DU60" i="5" s="1"/>
  <c r="DV60" i="5" s="1"/>
  <c r="DW60" i="5" s="1"/>
  <c r="DX60" i="5" s="1"/>
  <c r="DT57" i="5"/>
  <c r="DU57" i="5" s="1"/>
  <c r="DV57" i="5" s="1"/>
  <c r="DW57" i="5" s="1"/>
  <c r="DX57" i="5" s="1"/>
  <c r="DT62" i="5"/>
  <c r="DU62" i="5" s="1"/>
  <c r="DV62" i="5" s="1"/>
  <c r="DW62" i="5" s="1"/>
  <c r="DX62" i="5" s="1"/>
  <c r="DT59" i="5"/>
  <c r="DU59" i="5" s="1"/>
  <c r="DV59" i="5" s="1"/>
  <c r="DW59" i="5" s="1"/>
  <c r="DX59" i="5" s="1"/>
  <c r="DT61" i="5"/>
  <c r="DU61" i="5" s="1"/>
  <c r="DV61" i="5" s="1"/>
  <c r="DW61" i="5" s="1"/>
  <c r="DX61" i="5" s="1"/>
  <c r="DT58" i="5"/>
  <c r="DU58" i="5" s="1"/>
  <c r="DV58" i="5" s="1"/>
  <c r="DW58" i="5" s="1"/>
  <c r="DX58" i="5" s="1"/>
  <c r="DT55" i="5"/>
  <c r="DU55" i="5" s="1"/>
  <c r="DV55" i="5" s="1"/>
  <c r="DW55" i="5" s="1"/>
  <c r="DX55" i="5" s="1"/>
  <c r="DT53" i="5"/>
  <c r="DU53" i="5" s="1"/>
  <c r="DV53" i="5" s="1"/>
  <c r="DW53" i="5" s="1"/>
  <c r="DX53" i="5" s="1"/>
  <c r="DO56" i="5"/>
  <c r="DP56" i="5" s="1"/>
  <c r="DQ56" i="5" s="1"/>
  <c r="DR56" i="5" s="1"/>
  <c r="DS56" i="5" s="1"/>
  <c r="DO60" i="5"/>
  <c r="DP60" i="5" s="1"/>
  <c r="DQ60" i="5" s="1"/>
  <c r="DR60" i="5" s="1"/>
  <c r="DS60" i="5" s="1"/>
  <c r="DO54" i="5"/>
  <c r="DP54" i="5" s="1"/>
  <c r="DQ54" i="5" s="1"/>
  <c r="DR54" i="5" s="1"/>
  <c r="DS54" i="5" s="1"/>
  <c r="DO57" i="5"/>
  <c r="DP57" i="5" s="1"/>
  <c r="DQ57" i="5" s="1"/>
  <c r="DR57" i="5" s="1"/>
  <c r="DS57" i="5" s="1"/>
  <c r="DO62" i="5"/>
  <c r="DP62" i="5" s="1"/>
  <c r="DQ62" i="5" s="1"/>
  <c r="DR62" i="5" s="1"/>
  <c r="DS62" i="5" s="1"/>
  <c r="DO59" i="5"/>
  <c r="DP59" i="5" s="1"/>
  <c r="DQ59" i="5" s="1"/>
  <c r="DR59" i="5" s="1"/>
  <c r="DS59" i="5" s="1"/>
  <c r="DO58" i="5"/>
  <c r="DP58" i="5" s="1"/>
  <c r="DQ58" i="5" s="1"/>
  <c r="DR58" i="5" s="1"/>
  <c r="DS58" i="5" s="1"/>
  <c r="DO61" i="5"/>
  <c r="DP61" i="5" s="1"/>
  <c r="DQ61" i="5" s="1"/>
  <c r="DR61" i="5" s="1"/>
  <c r="DS61" i="5" s="1"/>
  <c r="DO55" i="5"/>
  <c r="DP55" i="5" s="1"/>
  <c r="DQ55" i="5" s="1"/>
  <c r="DR55" i="5" s="1"/>
  <c r="DS55" i="5" s="1"/>
  <c r="DO53" i="5"/>
  <c r="DP53" i="5" s="1"/>
  <c r="DQ53" i="5" s="1"/>
  <c r="DR53" i="5" s="1"/>
  <c r="DS53" i="5" s="1"/>
  <c r="DO9" i="5"/>
  <c r="DP9" i="5" s="1"/>
  <c r="DQ9" i="5" s="1"/>
  <c r="DR9" i="5" s="1"/>
  <c r="DS9" i="5" s="1"/>
  <c r="DO68" i="5"/>
  <c r="DP68" i="5" s="1"/>
  <c r="DQ68" i="5" s="1"/>
  <c r="DR68" i="5" s="1"/>
  <c r="DS68" i="5" s="1"/>
  <c r="DO12" i="5"/>
  <c r="DP12" i="5" s="1"/>
  <c r="DQ12" i="5" s="1"/>
  <c r="DR12" i="5" s="1"/>
  <c r="DS12" i="5" s="1"/>
  <c r="DO47" i="5"/>
  <c r="DP47" i="5" s="1"/>
  <c r="DQ47" i="5" s="1"/>
  <c r="DR47" i="5" s="1"/>
  <c r="DS47" i="5" s="1"/>
  <c r="DO7" i="5"/>
  <c r="DP7" i="5" s="1"/>
  <c r="DQ7" i="5" s="1"/>
  <c r="DR7" i="5" s="1"/>
  <c r="DS7" i="5" s="1"/>
  <c r="DO20" i="5"/>
  <c r="DP20" i="5" s="1"/>
  <c r="DQ20" i="5" s="1"/>
  <c r="DR20" i="5" s="1"/>
  <c r="DS20" i="5" s="1"/>
  <c r="DO51" i="5"/>
  <c r="DP51" i="5" s="1"/>
  <c r="DQ51" i="5" s="1"/>
  <c r="DR51" i="5" s="1"/>
  <c r="DS51" i="5" s="1"/>
  <c r="DO70" i="5"/>
  <c r="DP70" i="5" s="1"/>
  <c r="DQ70" i="5" s="1"/>
  <c r="DR70" i="5" s="1"/>
  <c r="DS70" i="5" s="1"/>
  <c r="DO13" i="5"/>
  <c r="DP13" i="5" s="1"/>
  <c r="DQ13" i="5" s="1"/>
  <c r="DR13" i="5" s="1"/>
  <c r="DS13" i="5" s="1"/>
  <c r="DO30" i="5"/>
  <c r="DP30" i="5" s="1"/>
  <c r="DQ30" i="5" s="1"/>
  <c r="DR30" i="5" s="1"/>
  <c r="DS30" i="5" s="1"/>
  <c r="DO10" i="5"/>
  <c r="DP10" i="5" s="1"/>
  <c r="DQ10" i="5" s="1"/>
  <c r="DR10" i="5" s="1"/>
  <c r="DS10" i="5" s="1"/>
  <c r="DO28" i="5"/>
  <c r="DP28" i="5" s="1"/>
  <c r="DQ28" i="5" s="1"/>
  <c r="DR28" i="5" s="1"/>
  <c r="DS28" i="5" s="1"/>
  <c r="DT69" i="5"/>
  <c r="DU69" i="5" s="1"/>
  <c r="DV69" i="5" s="1"/>
  <c r="DW69" i="5" s="1"/>
  <c r="DX69" i="5" s="1"/>
  <c r="DT26" i="5"/>
  <c r="DU26" i="5" s="1"/>
  <c r="DV26" i="5" s="1"/>
  <c r="DW26" i="5" s="1"/>
  <c r="DX26" i="5" s="1"/>
  <c r="DT45" i="5"/>
  <c r="DU45" i="5" s="1"/>
  <c r="DV45" i="5" s="1"/>
  <c r="DW45" i="5" s="1"/>
  <c r="DX45" i="5" s="1"/>
  <c r="DT50" i="5"/>
  <c r="DU50" i="5" s="1"/>
  <c r="DV50" i="5" s="1"/>
  <c r="DW50" i="5" s="1"/>
  <c r="DX50" i="5" s="1"/>
  <c r="DT28" i="5"/>
  <c r="DU28" i="5" s="1"/>
  <c r="DV28" i="5" s="1"/>
  <c r="DW28" i="5" s="1"/>
  <c r="DX28" i="5" s="1"/>
  <c r="DT51" i="5"/>
  <c r="DU51" i="5" s="1"/>
  <c r="DV51" i="5" s="1"/>
  <c r="DW51" i="5" s="1"/>
  <c r="DX51" i="5" s="1"/>
  <c r="DT42" i="5"/>
  <c r="DU42" i="5" s="1"/>
  <c r="DV42" i="5" s="1"/>
  <c r="DW42" i="5" s="1"/>
  <c r="DX42" i="5" s="1"/>
  <c r="DT43" i="5"/>
  <c r="DU43" i="5" s="1"/>
  <c r="DV43" i="5" s="1"/>
  <c r="DW43" i="5" s="1"/>
  <c r="DX43" i="5" s="1"/>
  <c r="DT46" i="5"/>
  <c r="DU46" i="5" s="1"/>
  <c r="DV46" i="5" s="1"/>
  <c r="DW46" i="5" s="1"/>
  <c r="DX46" i="5" s="1"/>
  <c r="DT47" i="5"/>
  <c r="DU47" i="5" s="1"/>
  <c r="DV47" i="5" s="1"/>
  <c r="DW47" i="5" s="1"/>
  <c r="DX47" i="5" s="1"/>
  <c r="DT29" i="5"/>
  <c r="DU29" i="5" s="1"/>
  <c r="DV29" i="5" s="1"/>
  <c r="DW29" i="5" s="1"/>
  <c r="DX29" i="5" s="1"/>
  <c r="DT38" i="5"/>
  <c r="DU38" i="5" s="1"/>
  <c r="DV38" i="5" s="1"/>
  <c r="DW38" i="5" s="1"/>
  <c r="DX38" i="5" s="1"/>
  <c r="DT37" i="5"/>
  <c r="DU37" i="5" s="1"/>
  <c r="DV37" i="5" s="1"/>
  <c r="DW37" i="5" s="1"/>
  <c r="DX37" i="5" s="1"/>
  <c r="DT22" i="5"/>
  <c r="DU22" i="5" s="1"/>
  <c r="DV22" i="5" s="1"/>
  <c r="DW22" i="5" s="1"/>
  <c r="DX22" i="5" s="1"/>
  <c r="DT23" i="5"/>
  <c r="DU23" i="5" s="1"/>
  <c r="DV23" i="5" s="1"/>
  <c r="DW23" i="5" s="1"/>
  <c r="DX23" i="5" s="1"/>
  <c r="DT36" i="5"/>
  <c r="DU36" i="5" s="1"/>
  <c r="DV36" i="5" s="1"/>
  <c r="DW36" i="5" s="1"/>
  <c r="DX36" i="5" s="1"/>
  <c r="DT16" i="5"/>
  <c r="DU16" i="5" s="1"/>
  <c r="DV16" i="5" s="1"/>
  <c r="DW16" i="5" s="1"/>
  <c r="DX16" i="5" s="1"/>
  <c r="DT17" i="5"/>
  <c r="DU17" i="5" s="1"/>
  <c r="DV17" i="5" s="1"/>
  <c r="DW17" i="5" s="1"/>
  <c r="DX17" i="5" s="1"/>
  <c r="DT12" i="5"/>
  <c r="DU12" i="5" s="1"/>
  <c r="DV12" i="5" s="1"/>
  <c r="DW12" i="5" s="1"/>
  <c r="DX12" i="5" s="1"/>
  <c r="DT10" i="5"/>
  <c r="DU10" i="5" s="1"/>
  <c r="DV10" i="5" s="1"/>
  <c r="DW10" i="5" s="1"/>
  <c r="DX10" i="5" s="1"/>
  <c r="DT9" i="5"/>
  <c r="DU9" i="5" s="1"/>
  <c r="DV9" i="5" s="1"/>
  <c r="DW9" i="5" s="1"/>
  <c r="DX9" i="5" s="1"/>
  <c r="DT11" i="5"/>
  <c r="DU11" i="5" s="1"/>
  <c r="DV11" i="5" s="1"/>
  <c r="DW11" i="5" s="1"/>
  <c r="DX11" i="5" s="1"/>
  <c r="DT8" i="5"/>
  <c r="DU8" i="5" s="1"/>
  <c r="DV8" i="5" s="1"/>
  <c r="DW8" i="5" s="1"/>
  <c r="DX8" i="5" s="1"/>
  <c r="DY3" i="5"/>
  <c r="DT65" i="5"/>
  <c r="DU65" i="5" s="1"/>
  <c r="DV65" i="5" s="1"/>
  <c r="DW65" i="5" s="1"/>
  <c r="DX65" i="5" s="1"/>
  <c r="DT14" i="5"/>
  <c r="DU14" i="5" s="1"/>
  <c r="DV14" i="5" s="1"/>
  <c r="DW14" i="5" s="1"/>
  <c r="DX14" i="5" s="1"/>
  <c r="DT64" i="5"/>
  <c r="DU64" i="5" s="1"/>
  <c r="DV64" i="5" s="1"/>
  <c r="DW64" i="5" s="1"/>
  <c r="DX64" i="5" s="1"/>
  <c r="DT32" i="5"/>
  <c r="DU32" i="5" s="1"/>
  <c r="DV32" i="5" s="1"/>
  <c r="DW32" i="5" s="1"/>
  <c r="DX32" i="5" s="1"/>
  <c r="DT13" i="5"/>
  <c r="DU13" i="5" s="1"/>
  <c r="DV13" i="5" s="1"/>
  <c r="DW13" i="5" s="1"/>
  <c r="DX13" i="5" s="1"/>
  <c r="DT63" i="5"/>
  <c r="DU63" i="5" s="1"/>
  <c r="DV63" i="5" s="1"/>
  <c r="DW63" i="5" s="1"/>
  <c r="DX63" i="5" s="1"/>
  <c r="DT31" i="5"/>
  <c r="DU31" i="5" s="1"/>
  <c r="DV31" i="5" s="1"/>
  <c r="DW31" i="5" s="1"/>
  <c r="DX31" i="5" s="1"/>
  <c r="DT39" i="5"/>
  <c r="DU39" i="5" s="1"/>
  <c r="DV39" i="5" s="1"/>
  <c r="DW39" i="5" s="1"/>
  <c r="DX39" i="5" s="1"/>
  <c r="DT15" i="5"/>
  <c r="DU15" i="5" s="1"/>
  <c r="DV15" i="5" s="1"/>
  <c r="DW15" i="5" s="1"/>
  <c r="DX15" i="5" s="1"/>
  <c r="DT35" i="5"/>
  <c r="DU35" i="5" s="1"/>
  <c r="DV35" i="5" s="1"/>
  <c r="DW35" i="5" s="1"/>
  <c r="DX35" i="5" s="1"/>
  <c r="DT7" i="5"/>
  <c r="DU7" i="5" s="1"/>
  <c r="DV7" i="5" s="1"/>
  <c r="DW7" i="5" s="1"/>
  <c r="DX7" i="5" s="1"/>
  <c r="DT34" i="5"/>
  <c r="DU34" i="5" s="1"/>
  <c r="DV34" i="5" s="1"/>
  <c r="DW34" i="5" s="1"/>
  <c r="DX34" i="5" s="1"/>
  <c r="DT6" i="5"/>
  <c r="DU6" i="5" s="1"/>
  <c r="DV6" i="5" s="1"/>
  <c r="DW6" i="5" s="1"/>
  <c r="DX6" i="5" s="1"/>
  <c r="DT5" i="5"/>
  <c r="DU5" i="5" s="1"/>
  <c r="DV5" i="5" s="1"/>
  <c r="DW5" i="5" s="1"/>
  <c r="DX5" i="5" s="1"/>
  <c r="DT30" i="5"/>
  <c r="DU30" i="5" s="1"/>
  <c r="DV30" i="5" s="1"/>
  <c r="DW30" i="5" s="1"/>
  <c r="DX30" i="5" s="1"/>
  <c r="DT40" i="5"/>
  <c r="DU40" i="5" s="1"/>
  <c r="DV40" i="5" s="1"/>
  <c r="DW40" i="5" s="1"/>
  <c r="DX40" i="5" s="1"/>
  <c r="DT4" i="5"/>
  <c r="DU4" i="5" s="1"/>
  <c r="DV4" i="5" s="1"/>
  <c r="DW4" i="5" s="1"/>
  <c r="DX4" i="5" s="1"/>
  <c r="DT33" i="5"/>
  <c r="DU33" i="5" s="1"/>
  <c r="DV33" i="5" s="1"/>
  <c r="DW33" i="5" s="1"/>
  <c r="DX33" i="5" s="1"/>
  <c r="DT20" i="5"/>
  <c r="DU20" i="5" s="1"/>
  <c r="DV20" i="5" s="1"/>
  <c r="DW20" i="5" s="1"/>
  <c r="DX20" i="5" s="1"/>
  <c r="DT70" i="5"/>
  <c r="DU70" i="5" s="1"/>
  <c r="DV70" i="5" s="1"/>
  <c r="DW70" i="5" s="1"/>
  <c r="DX70" i="5" s="1"/>
  <c r="DT68" i="5"/>
  <c r="DU68" i="5" s="1"/>
  <c r="DV68" i="5" s="1"/>
  <c r="DW68" i="5" s="1"/>
  <c r="DX68" i="5" s="1"/>
  <c r="DT18" i="5"/>
  <c r="DU18" i="5" s="1"/>
  <c r="DV18" i="5" s="1"/>
  <c r="DW18" i="5" s="1"/>
  <c r="DX18" i="5" s="1"/>
  <c r="DT66" i="5"/>
  <c r="DU66" i="5" s="1"/>
  <c r="DV66" i="5" s="1"/>
  <c r="DW66" i="5" s="1"/>
  <c r="DX66" i="5" s="1"/>
  <c r="DT52" i="5"/>
  <c r="DU52" i="5" s="1"/>
  <c r="DV52" i="5" s="1"/>
  <c r="DW52" i="5" s="1"/>
  <c r="DX52" i="5" s="1"/>
  <c r="DT48" i="5"/>
  <c r="DU48" i="5" s="1"/>
  <c r="DV48" i="5" s="1"/>
  <c r="DW48" i="5" s="1"/>
  <c r="DX48" i="5" s="1"/>
  <c r="DT44" i="5"/>
  <c r="DU44" i="5" s="1"/>
  <c r="DV44" i="5" s="1"/>
  <c r="DW44" i="5" s="1"/>
  <c r="DX44" i="5" s="1"/>
  <c r="DT19" i="5"/>
  <c r="DU19" i="5" s="1"/>
  <c r="DV19" i="5" s="1"/>
  <c r="DW19" i="5" s="1"/>
  <c r="DX19" i="5" s="1"/>
  <c r="DT67" i="5"/>
  <c r="DU67" i="5" s="1"/>
  <c r="DV67" i="5" s="1"/>
  <c r="DW67" i="5" s="1"/>
  <c r="DX67" i="5" s="1"/>
  <c r="DT49" i="5"/>
  <c r="DU49" i="5" s="1"/>
  <c r="DV49" i="5" s="1"/>
  <c r="DW49" i="5" s="1"/>
  <c r="DX49" i="5" s="1"/>
  <c r="DT41" i="5"/>
  <c r="DU41" i="5" s="1"/>
  <c r="DV41" i="5" s="1"/>
  <c r="DW41" i="5" s="1"/>
  <c r="DX41" i="5" s="1"/>
  <c r="DT25" i="5"/>
  <c r="DU25" i="5" s="1"/>
  <c r="DV25" i="5" s="1"/>
  <c r="DW25" i="5" s="1"/>
  <c r="DX25" i="5" s="1"/>
  <c r="DT24" i="5"/>
  <c r="DU24" i="5" s="1"/>
  <c r="DV24" i="5" s="1"/>
  <c r="DW24" i="5" s="1"/>
  <c r="DX24" i="5" s="1"/>
  <c r="DT21" i="5"/>
  <c r="DU21" i="5" s="1"/>
  <c r="DV21" i="5" s="1"/>
  <c r="DW21" i="5" s="1"/>
  <c r="DX21" i="5" s="1"/>
  <c r="DY54" i="5" l="1"/>
  <c r="DZ54" i="5" s="1"/>
  <c r="EA54" i="5" s="1"/>
  <c r="EB54" i="5" s="1"/>
  <c r="EC54" i="5" s="1"/>
  <c r="DY60" i="5"/>
  <c r="DZ60" i="5" s="1"/>
  <c r="EA60" i="5" s="1"/>
  <c r="EB60" i="5" s="1"/>
  <c r="EC60" i="5" s="1"/>
  <c r="DY61" i="5"/>
  <c r="DZ61" i="5" s="1"/>
  <c r="EA61" i="5" s="1"/>
  <c r="EB61" i="5" s="1"/>
  <c r="EC61" i="5" s="1"/>
  <c r="DY57" i="5"/>
  <c r="DZ57" i="5" s="1"/>
  <c r="EA57" i="5" s="1"/>
  <c r="EB57" i="5" s="1"/>
  <c r="EC57" i="5" s="1"/>
  <c r="DY62" i="5"/>
  <c r="DZ62" i="5" s="1"/>
  <c r="EA62" i="5" s="1"/>
  <c r="EB62" i="5" s="1"/>
  <c r="EC62" i="5" s="1"/>
  <c r="DY59" i="5"/>
  <c r="DZ59" i="5" s="1"/>
  <c r="EA59" i="5" s="1"/>
  <c r="EB59" i="5" s="1"/>
  <c r="EC59" i="5" s="1"/>
  <c r="DY56" i="5"/>
  <c r="DZ56" i="5" s="1"/>
  <c r="EA56" i="5" s="1"/>
  <c r="EB56" i="5" s="1"/>
  <c r="EC56" i="5" s="1"/>
  <c r="DY55" i="5"/>
  <c r="DZ55" i="5" s="1"/>
  <c r="EA55" i="5" s="1"/>
  <c r="EB55" i="5" s="1"/>
  <c r="EC55" i="5" s="1"/>
  <c r="DY53" i="5"/>
  <c r="DZ53" i="5" s="1"/>
  <c r="EA53" i="5" s="1"/>
  <c r="EB53" i="5" s="1"/>
  <c r="EC53" i="5" s="1"/>
  <c r="DY58" i="5"/>
  <c r="DZ58" i="5" s="1"/>
  <c r="EA58" i="5" s="1"/>
  <c r="EB58" i="5" s="1"/>
  <c r="EC58" i="5" s="1"/>
  <c r="DY69" i="5"/>
  <c r="DZ69" i="5" s="1"/>
  <c r="EA69" i="5" s="1"/>
  <c r="EB69" i="5" s="1"/>
  <c r="EC69" i="5" s="1"/>
  <c r="DY46" i="5"/>
  <c r="DZ46" i="5" s="1"/>
  <c r="EA46" i="5" s="1"/>
  <c r="EB46" i="5" s="1"/>
  <c r="EC46" i="5" s="1"/>
  <c r="DY50" i="5"/>
  <c r="DZ50" i="5" s="1"/>
  <c r="EA50" i="5" s="1"/>
  <c r="EB50" i="5" s="1"/>
  <c r="EC50" i="5" s="1"/>
  <c r="DY28" i="5"/>
  <c r="DZ28" i="5" s="1"/>
  <c r="EA28" i="5" s="1"/>
  <c r="EB28" i="5" s="1"/>
  <c r="EC28" i="5" s="1"/>
  <c r="DY47" i="5"/>
  <c r="DZ47" i="5" s="1"/>
  <c r="EA47" i="5" s="1"/>
  <c r="EB47" i="5" s="1"/>
  <c r="EC47" i="5" s="1"/>
  <c r="DY51" i="5"/>
  <c r="DZ51" i="5" s="1"/>
  <c r="EA51" i="5" s="1"/>
  <c r="EB51" i="5" s="1"/>
  <c r="EC51" i="5" s="1"/>
  <c r="DY42" i="5"/>
  <c r="DZ42" i="5" s="1"/>
  <c r="EA42" i="5" s="1"/>
  <c r="EB42" i="5" s="1"/>
  <c r="EC42" i="5" s="1"/>
  <c r="DY43" i="5"/>
  <c r="DZ43" i="5" s="1"/>
  <c r="EA43" i="5" s="1"/>
  <c r="EB43" i="5" s="1"/>
  <c r="EC43" i="5" s="1"/>
  <c r="DY26" i="5"/>
  <c r="DZ26" i="5" s="1"/>
  <c r="EA26" i="5" s="1"/>
  <c r="EB26" i="5" s="1"/>
  <c r="EC26" i="5" s="1"/>
  <c r="DY45" i="5"/>
  <c r="DZ45" i="5" s="1"/>
  <c r="EA45" i="5" s="1"/>
  <c r="EB45" i="5" s="1"/>
  <c r="EC45" i="5" s="1"/>
  <c r="DY29" i="5"/>
  <c r="DZ29" i="5" s="1"/>
  <c r="EA29" i="5" s="1"/>
  <c r="EB29" i="5" s="1"/>
  <c r="EC29" i="5" s="1"/>
  <c r="DY37" i="5"/>
  <c r="DZ37" i="5" s="1"/>
  <c r="EA37" i="5" s="1"/>
  <c r="EB37" i="5" s="1"/>
  <c r="EC37" i="5" s="1"/>
  <c r="DY38" i="5"/>
  <c r="DZ38" i="5" s="1"/>
  <c r="EA38" i="5" s="1"/>
  <c r="EB38" i="5" s="1"/>
  <c r="EC38" i="5" s="1"/>
  <c r="DY22" i="5"/>
  <c r="DZ22" i="5" s="1"/>
  <c r="EA22" i="5" s="1"/>
  <c r="EB22" i="5" s="1"/>
  <c r="EC22" i="5" s="1"/>
  <c r="DY36" i="5"/>
  <c r="DZ36" i="5" s="1"/>
  <c r="EA36" i="5" s="1"/>
  <c r="EB36" i="5" s="1"/>
  <c r="EC36" i="5" s="1"/>
  <c r="DY23" i="5"/>
  <c r="DZ23" i="5" s="1"/>
  <c r="EA23" i="5" s="1"/>
  <c r="EB23" i="5" s="1"/>
  <c r="EC23" i="5" s="1"/>
  <c r="DY16" i="5"/>
  <c r="DZ16" i="5" s="1"/>
  <c r="EA16" i="5" s="1"/>
  <c r="EB16" i="5" s="1"/>
  <c r="EC16" i="5" s="1"/>
  <c r="DY17" i="5"/>
  <c r="DZ17" i="5" s="1"/>
  <c r="EA17" i="5" s="1"/>
  <c r="EB17" i="5" s="1"/>
  <c r="EC17" i="5" s="1"/>
  <c r="DY9" i="5"/>
  <c r="DZ9" i="5" s="1"/>
  <c r="EA9" i="5" s="1"/>
  <c r="EB9" i="5" s="1"/>
  <c r="EC9" i="5" s="1"/>
  <c r="DY12" i="5"/>
  <c r="DZ12" i="5" s="1"/>
  <c r="EA12" i="5" s="1"/>
  <c r="EB12" i="5" s="1"/>
  <c r="EC12" i="5" s="1"/>
  <c r="DY10" i="5"/>
  <c r="DZ10" i="5" s="1"/>
  <c r="EA10" i="5" s="1"/>
  <c r="EB10" i="5" s="1"/>
  <c r="EC10" i="5" s="1"/>
  <c r="DY8" i="5"/>
  <c r="DZ8" i="5" s="1"/>
  <c r="EA8" i="5" s="1"/>
  <c r="EB8" i="5" s="1"/>
  <c r="EC8" i="5" s="1"/>
  <c r="DY11" i="5"/>
  <c r="DZ11" i="5" s="1"/>
  <c r="EA11" i="5" s="1"/>
  <c r="EB11" i="5" s="1"/>
  <c r="EC11" i="5" s="1"/>
  <c r="ED3" i="5"/>
  <c r="DY41" i="5"/>
  <c r="DZ41" i="5" s="1"/>
  <c r="EA41" i="5" s="1"/>
  <c r="EB41" i="5" s="1"/>
  <c r="EC41" i="5" s="1"/>
  <c r="DY24" i="5"/>
  <c r="DZ24" i="5" s="1"/>
  <c r="EA24" i="5" s="1"/>
  <c r="EB24" i="5" s="1"/>
  <c r="EC24" i="5" s="1"/>
  <c r="DY6" i="5"/>
  <c r="DZ6" i="5" s="1"/>
  <c r="EA6" i="5" s="1"/>
  <c r="EB6" i="5" s="1"/>
  <c r="EC6" i="5" s="1"/>
  <c r="DY70" i="5"/>
  <c r="DZ70" i="5" s="1"/>
  <c r="EA70" i="5" s="1"/>
  <c r="EB70" i="5" s="1"/>
  <c r="EC70" i="5" s="1"/>
  <c r="DY40" i="5"/>
  <c r="DZ40" i="5" s="1"/>
  <c r="EA40" i="5" s="1"/>
  <c r="EB40" i="5" s="1"/>
  <c r="EC40" i="5" s="1"/>
  <c r="DY21" i="5"/>
  <c r="DZ21" i="5" s="1"/>
  <c r="EA21" i="5" s="1"/>
  <c r="EB21" i="5" s="1"/>
  <c r="EC21" i="5" s="1"/>
  <c r="DY4" i="5"/>
  <c r="DZ4" i="5" s="1"/>
  <c r="EA4" i="5" s="1"/>
  <c r="EB4" i="5" s="1"/>
  <c r="EC4" i="5" s="1"/>
  <c r="DY65" i="5"/>
  <c r="DZ65" i="5" s="1"/>
  <c r="EA65" i="5" s="1"/>
  <c r="EB65" i="5" s="1"/>
  <c r="EC65" i="5" s="1"/>
  <c r="DY33" i="5"/>
  <c r="DZ33" i="5" s="1"/>
  <c r="EA33" i="5" s="1"/>
  <c r="EB33" i="5" s="1"/>
  <c r="EC33" i="5" s="1"/>
  <c r="DY39" i="5"/>
  <c r="DZ39" i="5" s="1"/>
  <c r="EA39" i="5" s="1"/>
  <c r="EB39" i="5" s="1"/>
  <c r="EC39" i="5" s="1"/>
  <c r="DY15" i="5"/>
  <c r="DZ15" i="5" s="1"/>
  <c r="EA15" i="5" s="1"/>
  <c r="EB15" i="5" s="1"/>
  <c r="EC15" i="5" s="1"/>
  <c r="DY35" i="5"/>
  <c r="DZ35" i="5" s="1"/>
  <c r="EA35" i="5" s="1"/>
  <c r="EB35" i="5" s="1"/>
  <c r="EC35" i="5" s="1"/>
  <c r="DY14" i="5"/>
  <c r="DZ14" i="5" s="1"/>
  <c r="EA14" i="5" s="1"/>
  <c r="EB14" i="5" s="1"/>
  <c r="EC14" i="5" s="1"/>
  <c r="DY32" i="5"/>
  <c r="DZ32" i="5" s="1"/>
  <c r="EA32" i="5" s="1"/>
  <c r="EB32" i="5" s="1"/>
  <c r="EC32" i="5" s="1"/>
  <c r="DY31" i="5"/>
  <c r="DZ31" i="5" s="1"/>
  <c r="EA31" i="5" s="1"/>
  <c r="EB31" i="5" s="1"/>
  <c r="EC31" i="5" s="1"/>
  <c r="DY7" i="5"/>
  <c r="DZ7" i="5" s="1"/>
  <c r="EA7" i="5" s="1"/>
  <c r="EB7" i="5" s="1"/>
  <c r="EC7" i="5" s="1"/>
  <c r="DY34" i="5"/>
  <c r="DZ34" i="5" s="1"/>
  <c r="EA34" i="5" s="1"/>
  <c r="EB34" i="5" s="1"/>
  <c r="EC34" i="5" s="1"/>
  <c r="DY5" i="5"/>
  <c r="DZ5" i="5" s="1"/>
  <c r="EA5" i="5" s="1"/>
  <c r="EB5" i="5" s="1"/>
  <c r="EC5" i="5" s="1"/>
  <c r="DY68" i="5"/>
  <c r="DZ68" i="5" s="1"/>
  <c r="EA68" i="5" s="1"/>
  <c r="EB68" i="5" s="1"/>
  <c r="EC68" i="5" s="1"/>
  <c r="DY48" i="5"/>
  <c r="DZ48" i="5" s="1"/>
  <c r="EA48" i="5" s="1"/>
  <c r="EB48" i="5" s="1"/>
  <c r="EC48" i="5" s="1"/>
  <c r="DY44" i="5"/>
  <c r="DZ44" i="5" s="1"/>
  <c r="EA44" i="5" s="1"/>
  <c r="EB44" i="5" s="1"/>
  <c r="EC44" i="5" s="1"/>
  <c r="DY19" i="5"/>
  <c r="DZ19" i="5" s="1"/>
  <c r="EA19" i="5" s="1"/>
  <c r="EB19" i="5" s="1"/>
  <c r="EC19" i="5" s="1"/>
  <c r="DY66" i="5"/>
  <c r="DZ66" i="5" s="1"/>
  <c r="EA66" i="5" s="1"/>
  <c r="EB66" i="5" s="1"/>
  <c r="EC66" i="5" s="1"/>
  <c r="DY18" i="5"/>
  <c r="DZ18" i="5" s="1"/>
  <c r="EA18" i="5" s="1"/>
  <c r="EB18" i="5" s="1"/>
  <c r="EC18" i="5" s="1"/>
  <c r="DY63" i="5"/>
  <c r="DZ63" i="5" s="1"/>
  <c r="EA63" i="5" s="1"/>
  <c r="EB63" i="5" s="1"/>
  <c r="EC63" i="5" s="1"/>
  <c r="DY13" i="5"/>
  <c r="DZ13" i="5" s="1"/>
  <c r="EA13" i="5" s="1"/>
  <c r="EB13" i="5" s="1"/>
  <c r="EC13" i="5" s="1"/>
  <c r="DY30" i="5"/>
  <c r="DZ30" i="5" s="1"/>
  <c r="EA30" i="5" s="1"/>
  <c r="EB30" i="5" s="1"/>
  <c r="EC30" i="5" s="1"/>
  <c r="DY25" i="5"/>
  <c r="DZ25" i="5" s="1"/>
  <c r="EA25" i="5" s="1"/>
  <c r="EB25" i="5" s="1"/>
  <c r="EC25" i="5" s="1"/>
  <c r="DY20" i="5"/>
  <c r="DZ20" i="5" s="1"/>
  <c r="EA20" i="5" s="1"/>
  <c r="EB20" i="5" s="1"/>
  <c r="EC20" i="5" s="1"/>
  <c r="DY67" i="5"/>
  <c r="DZ67" i="5" s="1"/>
  <c r="EA67" i="5" s="1"/>
  <c r="EB67" i="5" s="1"/>
  <c r="EC67" i="5" s="1"/>
  <c r="DY64" i="5"/>
  <c r="DZ64" i="5" s="1"/>
  <c r="EA64" i="5" s="1"/>
  <c r="EB64" i="5" s="1"/>
  <c r="EC64" i="5" s="1"/>
  <c r="DY52" i="5"/>
  <c r="DZ52" i="5" s="1"/>
  <c r="EA52" i="5" s="1"/>
  <c r="EB52" i="5" s="1"/>
  <c r="EC52" i="5" s="1"/>
  <c r="DY49" i="5"/>
  <c r="DZ49" i="5" s="1"/>
  <c r="EA49" i="5" s="1"/>
  <c r="EB49" i="5" s="1"/>
  <c r="EC49" i="5" s="1"/>
  <c r="ED57" i="5" l="1"/>
  <c r="EE57" i="5" s="1"/>
  <c r="EF57" i="5" s="1"/>
  <c r="EG57" i="5" s="1"/>
  <c r="EH57" i="5" s="1"/>
  <c r="ED61" i="5"/>
  <c r="EE61" i="5" s="1"/>
  <c r="EF61" i="5" s="1"/>
  <c r="EG61" i="5" s="1"/>
  <c r="EH61" i="5" s="1"/>
  <c r="ED55" i="5"/>
  <c r="EE55" i="5" s="1"/>
  <c r="EF55" i="5" s="1"/>
  <c r="EG55" i="5" s="1"/>
  <c r="EH55" i="5" s="1"/>
  <c r="ED62" i="5"/>
  <c r="EE62" i="5" s="1"/>
  <c r="EF62" i="5" s="1"/>
  <c r="EG62" i="5" s="1"/>
  <c r="EH62" i="5" s="1"/>
  <c r="ED59" i="5"/>
  <c r="EE59" i="5" s="1"/>
  <c r="EF59" i="5" s="1"/>
  <c r="EG59" i="5" s="1"/>
  <c r="EH59" i="5" s="1"/>
  <c r="ED56" i="5"/>
  <c r="EE56" i="5" s="1"/>
  <c r="EF56" i="5" s="1"/>
  <c r="EG56" i="5" s="1"/>
  <c r="EH56" i="5" s="1"/>
  <c r="ED53" i="5"/>
  <c r="EE53" i="5" s="1"/>
  <c r="EF53" i="5" s="1"/>
  <c r="EG53" i="5" s="1"/>
  <c r="EH53" i="5" s="1"/>
  <c r="ED54" i="5"/>
  <c r="EE54" i="5" s="1"/>
  <c r="EF54" i="5" s="1"/>
  <c r="EG54" i="5" s="1"/>
  <c r="EH54" i="5" s="1"/>
  <c r="ED60" i="5"/>
  <c r="EE60" i="5" s="1"/>
  <c r="EF60" i="5" s="1"/>
  <c r="EG60" i="5" s="1"/>
  <c r="EH60" i="5" s="1"/>
  <c r="ED58" i="5"/>
  <c r="EE58" i="5" s="1"/>
  <c r="EF58" i="5" s="1"/>
  <c r="EG58" i="5" s="1"/>
  <c r="EH58" i="5" s="1"/>
  <c r="ED69" i="5"/>
  <c r="EE69" i="5" s="1"/>
  <c r="EF69" i="5" s="1"/>
  <c r="EG69" i="5" s="1"/>
  <c r="EH69" i="5" s="1"/>
  <c r="ED26" i="5"/>
  <c r="EE26" i="5" s="1"/>
  <c r="EF26" i="5" s="1"/>
  <c r="EG26" i="5" s="1"/>
  <c r="EH26" i="5" s="1"/>
  <c r="ED51" i="5"/>
  <c r="EE51" i="5" s="1"/>
  <c r="EF51" i="5" s="1"/>
  <c r="EG51" i="5" s="1"/>
  <c r="EH51" i="5" s="1"/>
  <c r="ED42" i="5"/>
  <c r="EE42" i="5" s="1"/>
  <c r="EF42" i="5" s="1"/>
  <c r="EG42" i="5" s="1"/>
  <c r="EH42" i="5" s="1"/>
  <c r="ED43" i="5"/>
  <c r="EE43" i="5" s="1"/>
  <c r="EF43" i="5" s="1"/>
  <c r="EG43" i="5" s="1"/>
  <c r="EH43" i="5" s="1"/>
  <c r="ED46" i="5"/>
  <c r="EE46" i="5" s="1"/>
  <c r="EF46" i="5" s="1"/>
  <c r="EG46" i="5" s="1"/>
  <c r="EH46" i="5" s="1"/>
  <c r="ED45" i="5"/>
  <c r="EE45" i="5" s="1"/>
  <c r="EF45" i="5" s="1"/>
  <c r="EG45" i="5" s="1"/>
  <c r="EH45" i="5" s="1"/>
  <c r="ED50" i="5"/>
  <c r="EE50" i="5" s="1"/>
  <c r="EF50" i="5" s="1"/>
  <c r="EG50" i="5" s="1"/>
  <c r="EH50" i="5" s="1"/>
  <c r="ED28" i="5"/>
  <c r="EE28" i="5" s="1"/>
  <c r="EF28" i="5" s="1"/>
  <c r="EG28" i="5" s="1"/>
  <c r="EH28" i="5" s="1"/>
  <c r="ED47" i="5"/>
  <c r="EE47" i="5" s="1"/>
  <c r="EF47" i="5" s="1"/>
  <c r="EG47" i="5" s="1"/>
  <c r="EH47" i="5" s="1"/>
  <c r="ED29" i="5"/>
  <c r="EE29" i="5" s="1"/>
  <c r="EF29" i="5" s="1"/>
  <c r="EG29" i="5" s="1"/>
  <c r="EH29" i="5" s="1"/>
  <c r="ED37" i="5"/>
  <c r="EE37" i="5" s="1"/>
  <c r="EF37" i="5" s="1"/>
  <c r="EG37" i="5" s="1"/>
  <c r="EH37" i="5" s="1"/>
  <c r="ED38" i="5"/>
  <c r="EE38" i="5" s="1"/>
  <c r="EF38" i="5" s="1"/>
  <c r="EG38" i="5" s="1"/>
  <c r="EH38" i="5" s="1"/>
  <c r="ED22" i="5"/>
  <c r="EE22" i="5" s="1"/>
  <c r="EF22" i="5" s="1"/>
  <c r="EG22" i="5" s="1"/>
  <c r="EH22" i="5" s="1"/>
  <c r="ED23" i="5"/>
  <c r="EE23" i="5" s="1"/>
  <c r="EF23" i="5" s="1"/>
  <c r="EG23" i="5" s="1"/>
  <c r="EH23" i="5" s="1"/>
  <c r="ED36" i="5"/>
  <c r="EE36" i="5" s="1"/>
  <c r="EF36" i="5" s="1"/>
  <c r="EG36" i="5" s="1"/>
  <c r="EH36" i="5" s="1"/>
  <c r="ED16" i="5"/>
  <c r="EE16" i="5" s="1"/>
  <c r="EF16" i="5" s="1"/>
  <c r="EG16" i="5" s="1"/>
  <c r="EH16" i="5" s="1"/>
  <c r="ED17" i="5"/>
  <c r="EE17" i="5" s="1"/>
  <c r="EF17" i="5" s="1"/>
  <c r="EG17" i="5" s="1"/>
  <c r="EH17" i="5" s="1"/>
  <c r="ED8" i="5"/>
  <c r="EE8" i="5" s="1"/>
  <c r="EF8" i="5" s="1"/>
  <c r="EG8" i="5" s="1"/>
  <c r="EH8" i="5" s="1"/>
  <c r="ED12" i="5"/>
  <c r="EE12" i="5" s="1"/>
  <c r="EF12" i="5" s="1"/>
  <c r="EG12" i="5" s="1"/>
  <c r="EH12" i="5" s="1"/>
  <c r="ED10" i="5"/>
  <c r="EE10" i="5" s="1"/>
  <c r="EF10" i="5" s="1"/>
  <c r="EG10" i="5" s="1"/>
  <c r="EH10" i="5" s="1"/>
  <c r="ED9" i="5"/>
  <c r="EE9" i="5" s="1"/>
  <c r="EF9" i="5" s="1"/>
  <c r="EG9" i="5" s="1"/>
  <c r="EH9" i="5" s="1"/>
  <c r="ED11" i="5"/>
  <c r="EE11" i="5" s="1"/>
  <c r="EF11" i="5" s="1"/>
  <c r="EG11" i="5" s="1"/>
  <c r="EH11" i="5" s="1"/>
  <c r="EI3" i="5"/>
  <c r="ED70" i="5"/>
  <c r="EE70" i="5" s="1"/>
  <c r="EF70" i="5" s="1"/>
  <c r="EG70" i="5" s="1"/>
  <c r="EH70" i="5" s="1"/>
  <c r="ED6" i="5"/>
  <c r="EE6" i="5" s="1"/>
  <c r="EF6" i="5" s="1"/>
  <c r="EG6" i="5" s="1"/>
  <c r="EH6" i="5" s="1"/>
  <c r="ED67" i="5"/>
  <c r="EE67" i="5" s="1"/>
  <c r="EF67" i="5" s="1"/>
  <c r="EG67" i="5" s="1"/>
  <c r="EH67" i="5" s="1"/>
  <c r="ED21" i="5"/>
  <c r="EE21" i="5" s="1"/>
  <c r="EF21" i="5" s="1"/>
  <c r="EG21" i="5" s="1"/>
  <c r="EH21" i="5" s="1"/>
  <c r="ED4" i="5"/>
  <c r="EE4" i="5" s="1"/>
  <c r="EF4" i="5" s="1"/>
  <c r="EG4" i="5" s="1"/>
  <c r="EH4" i="5" s="1"/>
  <c r="ED20" i="5"/>
  <c r="EE20" i="5" s="1"/>
  <c r="EF20" i="5" s="1"/>
  <c r="EG20" i="5" s="1"/>
  <c r="EH20" i="5" s="1"/>
  <c r="ED35" i="5"/>
  <c r="EE35" i="5" s="1"/>
  <c r="EF35" i="5" s="1"/>
  <c r="EG35" i="5" s="1"/>
  <c r="EH35" i="5" s="1"/>
  <c r="ED63" i="5"/>
  <c r="EE63" i="5" s="1"/>
  <c r="EF63" i="5" s="1"/>
  <c r="EG63" i="5" s="1"/>
  <c r="EH63" i="5" s="1"/>
  <c r="ED31" i="5"/>
  <c r="EE31" i="5" s="1"/>
  <c r="EF31" i="5" s="1"/>
  <c r="EG31" i="5" s="1"/>
  <c r="EH31" i="5" s="1"/>
  <c r="ED7" i="5"/>
  <c r="EE7" i="5" s="1"/>
  <c r="EF7" i="5" s="1"/>
  <c r="EG7" i="5" s="1"/>
  <c r="EH7" i="5" s="1"/>
  <c r="ED52" i="5"/>
  <c r="EE52" i="5" s="1"/>
  <c r="EF52" i="5" s="1"/>
  <c r="EG52" i="5" s="1"/>
  <c r="EH52" i="5" s="1"/>
  <c r="ED30" i="5"/>
  <c r="EE30" i="5" s="1"/>
  <c r="EF30" i="5" s="1"/>
  <c r="EG30" i="5" s="1"/>
  <c r="EH30" i="5" s="1"/>
  <c r="ED5" i="5"/>
  <c r="EE5" i="5" s="1"/>
  <c r="EF5" i="5" s="1"/>
  <c r="EG5" i="5" s="1"/>
  <c r="EH5" i="5" s="1"/>
  <c r="ED49" i="5"/>
  <c r="EE49" i="5" s="1"/>
  <c r="EF49" i="5" s="1"/>
  <c r="EG49" i="5" s="1"/>
  <c r="EH49" i="5" s="1"/>
  <c r="ED68" i="5"/>
  <c r="EE68" i="5" s="1"/>
  <c r="EF68" i="5" s="1"/>
  <c r="EG68" i="5" s="1"/>
  <c r="EH68" i="5" s="1"/>
  <c r="ED32" i="5"/>
  <c r="EE32" i="5" s="1"/>
  <c r="EF32" i="5" s="1"/>
  <c r="EG32" i="5" s="1"/>
  <c r="EH32" i="5" s="1"/>
  <c r="ED64" i="5"/>
  <c r="EE64" i="5" s="1"/>
  <c r="EF64" i="5" s="1"/>
  <c r="EG64" i="5" s="1"/>
  <c r="EH64" i="5" s="1"/>
  <c r="ED19" i="5"/>
  <c r="EE19" i="5" s="1"/>
  <c r="EF19" i="5" s="1"/>
  <c r="EG19" i="5" s="1"/>
  <c r="EH19" i="5" s="1"/>
  <c r="ED66" i="5"/>
  <c r="EE66" i="5" s="1"/>
  <c r="EF66" i="5" s="1"/>
  <c r="EG66" i="5" s="1"/>
  <c r="EH66" i="5" s="1"/>
  <c r="ED25" i="5"/>
  <c r="EE25" i="5" s="1"/>
  <c r="EF25" i="5" s="1"/>
  <c r="EG25" i="5" s="1"/>
  <c r="EH25" i="5" s="1"/>
  <c r="ED65" i="5"/>
  <c r="EE65" i="5" s="1"/>
  <c r="EF65" i="5" s="1"/>
  <c r="EG65" i="5" s="1"/>
  <c r="EH65" i="5" s="1"/>
  <c r="ED24" i="5"/>
  <c r="EE24" i="5" s="1"/>
  <c r="EF24" i="5" s="1"/>
  <c r="EG24" i="5" s="1"/>
  <c r="EH24" i="5" s="1"/>
  <c r="ED48" i="5"/>
  <c r="EE48" i="5" s="1"/>
  <c r="EF48" i="5" s="1"/>
  <c r="EG48" i="5" s="1"/>
  <c r="EH48" i="5" s="1"/>
  <c r="ED41" i="5"/>
  <c r="EE41" i="5" s="1"/>
  <c r="EF41" i="5" s="1"/>
  <c r="EG41" i="5" s="1"/>
  <c r="EH41" i="5" s="1"/>
  <c r="ED39" i="5"/>
  <c r="EE39" i="5" s="1"/>
  <c r="EF39" i="5" s="1"/>
  <c r="EG39" i="5" s="1"/>
  <c r="EH39" i="5" s="1"/>
  <c r="ED34" i="5"/>
  <c r="EE34" i="5" s="1"/>
  <c r="EF34" i="5" s="1"/>
  <c r="EG34" i="5" s="1"/>
  <c r="EH34" i="5" s="1"/>
  <c r="ED33" i="5"/>
  <c r="EE33" i="5" s="1"/>
  <c r="EF33" i="5" s="1"/>
  <c r="EG33" i="5" s="1"/>
  <c r="EH33" i="5" s="1"/>
  <c r="ED18" i="5"/>
  <c r="EE18" i="5" s="1"/>
  <c r="EF18" i="5" s="1"/>
  <c r="EG18" i="5" s="1"/>
  <c r="EH18" i="5" s="1"/>
  <c r="ED14" i="5"/>
  <c r="EE14" i="5" s="1"/>
  <c r="EF14" i="5" s="1"/>
  <c r="EG14" i="5" s="1"/>
  <c r="EH14" i="5" s="1"/>
  <c r="ED13" i="5"/>
  <c r="EE13" i="5" s="1"/>
  <c r="EF13" i="5" s="1"/>
  <c r="EG13" i="5" s="1"/>
  <c r="EH13" i="5" s="1"/>
  <c r="ED44" i="5"/>
  <c r="EE44" i="5" s="1"/>
  <c r="EF44" i="5" s="1"/>
  <c r="EG44" i="5" s="1"/>
  <c r="EH44" i="5" s="1"/>
  <c r="ED40" i="5"/>
  <c r="EE40" i="5" s="1"/>
  <c r="EF40" i="5" s="1"/>
  <c r="EG40" i="5" s="1"/>
  <c r="EH40" i="5" s="1"/>
  <c r="ED15" i="5"/>
  <c r="EE15" i="5" s="1"/>
  <c r="EF15" i="5" s="1"/>
  <c r="EG15" i="5" s="1"/>
  <c r="EH15" i="5" s="1"/>
  <c r="EI57" i="5" l="1"/>
  <c r="EJ57" i="5" s="1"/>
  <c r="EK57" i="5" s="1"/>
  <c r="EL57" i="5" s="1"/>
  <c r="EM57" i="5" s="1"/>
  <c r="EI53" i="5"/>
  <c r="EJ53" i="5" s="1"/>
  <c r="EK53" i="5" s="1"/>
  <c r="EL53" i="5" s="1"/>
  <c r="EM53" i="5" s="1"/>
  <c r="EI62" i="5"/>
  <c r="EJ62" i="5" s="1"/>
  <c r="EK62" i="5" s="1"/>
  <c r="EL62" i="5" s="1"/>
  <c r="EM62" i="5" s="1"/>
  <c r="EI58" i="5"/>
  <c r="EJ58" i="5" s="1"/>
  <c r="EK58" i="5" s="1"/>
  <c r="EL58" i="5" s="1"/>
  <c r="EM58" i="5" s="1"/>
  <c r="EI59" i="5"/>
  <c r="EJ59" i="5" s="1"/>
  <c r="EK59" i="5" s="1"/>
  <c r="EL59" i="5" s="1"/>
  <c r="EM59" i="5" s="1"/>
  <c r="EI56" i="5"/>
  <c r="EJ56" i="5" s="1"/>
  <c r="EK56" i="5" s="1"/>
  <c r="EL56" i="5" s="1"/>
  <c r="EM56" i="5" s="1"/>
  <c r="EI61" i="5"/>
  <c r="EJ61" i="5" s="1"/>
  <c r="EK61" i="5" s="1"/>
  <c r="EL61" i="5" s="1"/>
  <c r="EM61" i="5" s="1"/>
  <c r="EI55" i="5"/>
  <c r="EJ55" i="5" s="1"/>
  <c r="EK55" i="5" s="1"/>
  <c r="EL55" i="5" s="1"/>
  <c r="EM55" i="5" s="1"/>
  <c r="EI60" i="5"/>
  <c r="EJ60" i="5" s="1"/>
  <c r="EK60" i="5" s="1"/>
  <c r="EL60" i="5" s="1"/>
  <c r="EM60" i="5" s="1"/>
  <c r="EI54" i="5"/>
  <c r="EJ54" i="5" s="1"/>
  <c r="EK54" i="5" s="1"/>
  <c r="EL54" i="5" s="1"/>
  <c r="EM54" i="5" s="1"/>
  <c r="EI69" i="5"/>
  <c r="EJ69" i="5" s="1"/>
  <c r="EK69" i="5" s="1"/>
  <c r="EL69" i="5" s="1"/>
  <c r="EM69" i="5" s="1"/>
  <c r="EI26" i="5"/>
  <c r="EJ26" i="5" s="1"/>
  <c r="EK26" i="5" s="1"/>
  <c r="EL26" i="5" s="1"/>
  <c r="EM26" i="5" s="1"/>
  <c r="EI46" i="5"/>
  <c r="EJ46" i="5" s="1"/>
  <c r="EK46" i="5" s="1"/>
  <c r="EL46" i="5" s="1"/>
  <c r="EM46" i="5" s="1"/>
  <c r="EI45" i="5"/>
  <c r="EJ45" i="5" s="1"/>
  <c r="EK45" i="5" s="1"/>
  <c r="EL45" i="5" s="1"/>
  <c r="EM45" i="5" s="1"/>
  <c r="EI50" i="5"/>
  <c r="EJ50" i="5" s="1"/>
  <c r="EK50" i="5" s="1"/>
  <c r="EL50" i="5" s="1"/>
  <c r="EM50" i="5" s="1"/>
  <c r="EI28" i="5"/>
  <c r="EJ28" i="5" s="1"/>
  <c r="EK28" i="5" s="1"/>
  <c r="EL28" i="5" s="1"/>
  <c r="EM28" i="5" s="1"/>
  <c r="EI43" i="5"/>
  <c r="EJ43" i="5" s="1"/>
  <c r="EK43" i="5" s="1"/>
  <c r="EL43" i="5" s="1"/>
  <c r="EM43" i="5" s="1"/>
  <c r="EI47" i="5"/>
  <c r="EJ47" i="5" s="1"/>
  <c r="EK47" i="5" s="1"/>
  <c r="EL47" i="5" s="1"/>
  <c r="EM47" i="5" s="1"/>
  <c r="EI51" i="5"/>
  <c r="EJ51" i="5" s="1"/>
  <c r="EK51" i="5" s="1"/>
  <c r="EL51" i="5" s="1"/>
  <c r="EM51" i="5" s="1"/>
  <c r="EI42" i="5"/>
  <c r="EJ42" i="5" s="1"/>
  <c r="EK42" i="5" s="1"/>
  <c r="EL42" i="5" s="1"/>
  <c r="EM42" i="5" s="1"/>
  <c r="EI29" i="5"/>
  <c r="EJ29" i="5" s="1"/>
  <c r="EK29" i="5" s="1"/>
  <c r="EL29" i="5" s="1"/>
  <c r="EM29" i="5" s="1"/>
  <c r="EI37" i="5"/>
  <c r="EJ37" i="5" s="1"/>
  <c r="EK37" i="5" s="1"/>
  <c r="EL37" i="5" s="1"/>
  <c r="EM37" i="5" s="1"/>
  <c r="EI38" i="5"/>
  <c r="EJ38" i="5" s="1"/>
  <c r="EK38" i="5" s="1"/>
  <c r="EL38" i="5" s="1"/>
  <c r="EM38" i="5" s="1"/>
  <c r="EI22" i="5"/>
  <c r="EJ22" i="5" s="1"/>
  <c r="EK22" i="5" s="1"/>
  <c r="EL22" i="5" s="1"/>
  <c r="EM22" i="5" s="1"/>
  <c r="EI36" i="5"/>
  <c r="EJ36" i="5" s="1"/>
  <c r="EK36" i="5" s="1"/>
  <c r="EL36" i="5" s="1"/>
  <c r="EM36" i="5" s="1"/>
  <c r="EI23" i="5"/>
  <c r="EJ23" i="5" s="1"/>
  <c r="EK23" i="5" s="1"/>
  <c r="EL23" i="5" s="1"/>
  <c r="EM23" i="5" s="1"/>
  <c r="EI16" i="5"/>
  <c r="EJ16" i="5" s="1"/>
  <c r="EK16" i="5" s="1"/>
  <c r="EL16" i="5" s="1"/>
  <c r="EM16" i="5" s="1"/>
  <c r="EI17" i="5"/>
  <c r="EJ17" i="5" s="1"/>
  <c r="EK17" i="5" s="1"/>
  <c r="EL17" i="5" s="1"/>
  <c r="EM17" i="5" s="1"/>
  <c r="EI9" i="5"/>
  <c r="EJ9" i="5" s="1"/>
  <c r="EK9" i="5" s="1"/>
  <c r="EL9" i="5" s="1"/>
  <c r="EM9" i="5" s="1"/>
  <c r="EI12" i="5"/>
  <c r="EJ12" i="5" s="1"/>
  <c r="EK12" i="5" s="1"/>
  <c r="EL12" i="5" s="1"/>
  <c r="EM12" i="5" s="1"/>
  <c r="EI10" i="5"/>
  <c r="EJ10" i="5" s="1"/>
  <c r="EK10" i="5" s="1"/>
  <c r="EL10" i="5" s="1"/>
  <c r="EM10" i="5" s="1"/>
  <c r="EI8" i="5"/>
  <c r="EJ8" i="5" s="1"/>
  <c r="EK8" i="5" s="1"/>
  <c r="EL8" i="5" s="1"/>
  <c r="EM8" i="5" s="1"/>
  <c r="EI11" i="5"/>
  <c r="EJ11" i="5" s="1"/>
  <c r="EK11" i="5" s="1"/>
  <c r="EL11" i="5" s="1"/>
  <c r="EM11" i="5" s="1"/>
  <c r="EN3" i="5"/>
  <c r="EI65" i="5"/>
  <c r="EJ65" i="5" s="1"/>
  <c r="EK65" i="5" s="1"/>
  <c r="EL65" i="5" s="1"/>
  <c r="EM65" i="5" s="1"/>
  <c r="EI63" i="5"/>
  <c r="EJ63" i="5" s="1"/>
  <c r="EK63" i="5" s="1"/>
  <c r="EL63" i="5" s="1"/>
  <c r="EM63" i="5" s="1"/>
  <c r="EI32" i="5"/>
  <c r="EJ32" i="5" s="1"/>
  <c r="EK32" i="5" s="1"/>
  <c r="EL32" i="5" s="1"/>
  <c r="EM32" i="5" s="1"/>
  <c r="EI14" i="5"/>
  <c r="EJ14" i="5" s="1"/>
  <c r="EK14" i="5" s="1"/>
  <c r="EL14" i="5" s="1"/>
  <c r="EM14" i="5" s="1"/>
  <c r="EI52" i="5"/>
  <c r="EJ52" i="5" s="1"/>
  <c r="EK52" i="5" s="1"/>
  <c r="EL52" i="5" s="1"/>
  <c r="EM52" i="5" s="1"/>
  <c r="EI31" i="5"/>
  <c r="EJ31" i="5" s="1"/>
  <c r="EK31" i="5" s="1"/>
  <c r="EL31" i="5" s="1"/>
  <c r="EM31" i="5" s="1"/>
  <c r="EI13" i="5"/>
  <c r="EJ13" i="5" s="1"/>
  <c r="EK13" i="5" s="1"/>
  <c r="EL13" i="5" s="1"/>
  <c r="EM13" i="5" s="1"/>
  <c r="EI15" i="5"/>
  <c r="EJ15" i="5" s="1"/>
  <c r="EK15" i="5" s="1"/>
  <c r="EL15" i="5" s="1"/>
  <c r="EM15" i="5" s="1"/>
  <c r="EI39" i="5"/>
  <c r="EJ39" i="5" s="1"/>
  <c r="EK39" i="5" s="1"/>
  <c r="EL39" i="5" s="1"/>
  <c r="EM39" i="5" s="1"/>
  <c r="EI35" i="5"/>
  <c r="EJ35" i="5" s="1"/>
  <c r="EK35" i="5" s="1"/>
  <c r="EL35" i="5" s="1"/>
  <c r="EM35" i="5" s="1"/>
  <c r="EI70" i="5"/>
  <c r="EJ70" i="5" s="1"/>
  <c r="EK70" i="5" s="1"/>
  <c r="EL70" i="5" s="1"/>
  <c r="EM70" i="5" s="1"/>
  <c r="EI34" i="5"/>
  <c r="EJ34" i="5" s="1"/>
  <c r="EK34" i="5" s="1"/>
  <c r="EL34" i="5" s="1"/>
  <c r="EM34" i="5" s="1"/>
  <c r="EI7" i="5"/>
  <c r="EJ7" i="5" s="1"/>
  <c r="EK7" i="5" s="1"/>
  <c r="EL7" i="5" s="1"/>
  <c r="EM7" i="5" s="1"/>
  <c r="EI30" i="5"/>
  <c r="EJ30" i="5" s="1"/>
  <c r="EK30" i="5" s="1"/>
  <c r="EL30" i="5" s="1"/>
  <c r="EM30" i="5" s="1"/>
  <c r="EI68" i="5"/>
  <c r="EJ68" i="5" s="1"/>
  <c r="EK68" i="5" s="1"/>
  <c r="EL68" i="5" s="1"/>
  <c r="EM68" i="5" s="1"/>
  <c r="EI40" i="5"/>
  <c r="EJ40" i="5" s="1"/>
  <c r="EK40" i="5" s="1"/>
  <c r="EL40" i="5" s="1"/>
  <c r="EM40" i="5" s="1"/>
  <c r="EI6" i="5"/>
  <c r="EJ6" i="5" s="1"/>
  <c r="EK6" i="5" s="1"/>
  <c r="EL6" i="5" s="1"/>
  <c r="EM6" i="5" s="1"/>
  <c r="EI5" i="5"/>
  <c r="EJ5" i="5" s="1"/>
  <c r="EK5" i="5" s="1"/>
  <c r="EL5" i="5" s="1"/>
  <c r="EM5" i="5" s="1"/>
  <c r="EI33" i="5"/>
  <c r="EJ33" i="5" s="1"/>
  <c r="EK33" i="5" s="1"/>
  <c r="EL33" i="5" s="1"/>
  <c r="EM33" i="5" s="1"/>
  <c r="EI4" i="5"/>
  <c r="EJ4" i="5" s="1"/>
  <c r="EK4" i="5" s="1"/>
  <c r="EL4" i="5" s="1"/>
  <c r="EM4" i="5" s="1"/>
  <c r="EI21" i="5"/>
  <c r="EJ21" i="5" s="1"/>
  <c r="EK21" i="5" s="1"/>
  <c r="EL21" i="5" s="1"/>
  <c r="EM21" i="5" s="1"/>
  <c r="EI19" i="5"/>
  <c r="EJ19" i="5" s="1"/>
  <c r="EK19" i="5" s="1"/>
  <c r="EL19" i="5" s="1"/>
  <c r="EM19" i="5" s="1"/>
  <c r="EI18" i="5"/>
  <c r="EJ18" i="5" s="1"/>
  <c r="EK18" i="5" s="1"/>
  <c r="EL18" i="5" s="1"/>
  <c r="EM18" i="5" s="1"/>
  <c r="EI64" i="5"/>
  <c r="EJ64" i="5" s="1"/>
  <c r="EK64" i="5" s="1"/>
  <c r="EL64" i="5" s="1"/>
  <c r="EM64" i="5" s="1"/>
  <c r="EI44" i="5"/>
  <c r="EJ44" i="5" s="1"/>
  <c r="EK44" i="5" s="1"/>
  <c r="EL44" i="5" s="1"/>
  <c r="EM44" i="5" s="1"/>
  <c r="EI24" i="5"/>
  <c r="EJ24" i="5" s="1"/>
  <c r="EK24" i="5" s="1"/>
  <c r="EL24" i="5" s="1"/>
  <c r="EM24" i="5" s="1"/>
  <c r="EI20" i="5"/>
  <c r="EJ20" i="5" s="1"/>
  <c r="EK20" i="5" s="1"/>
  <c r="EL20" i="5" s="1"/>
  <c r="EM20" i="5" s="1"/>
  <c r="EI67" i="5"/>
  <c r="EJ67" i="5" s="1"/>
  <c r="EK67" i="5" s="1"/>
  <c r="EL67" i="5" s="1"/>
  <c r="EM67" i="5" s="1"/>
  <c r="EI66" i="5"/>
  <c r="EJ66" i="5" s="1"/>
  <c r="EK66" i="5" s="1"/>
  <c r="EL66" i="5" s="1"/>
  <c r="EM66" i="5" s="1"/>
  <c r="EI49" i="5"/>
  <c r="EJ49" i="5" s="1"/>
  <c r="EK49" i="5" s="1"/>
  <c r="EL49" i="5" s="1"/>
  <c r="EM49" i="5" s="1"/>
  <c r="EI48" i="5"/>
  <c r="EJ48" i="5" s="1"/>
  <c r="EK48" i="5" s="1"/>
  <c r="EL48" i="5" s="1"/>
  <c r="EM48" i="5" s="1"/>
  <c r="EI41" i="5"/>
  <c r="EJ41" i="5" s="1"/>
  <c r="EK41" i="5" s="1"/>
  <c r="EL41" i="5" s="1"/>
  <c r="EM41" i="5" s="1"/>
  <c r="EI25" i="5"/>
  <c r="EJ25" i="5" s="1"/>
  <c r="EK25" i="5" s="1"/>
  <c r="EL25" i="5" s="1"/>
  <c r="EM25" i="5" s="1"/>
  <c r="EN62" i="5" l="1"/>
  <c r="EO62" i="5" s="1"/>
  <c r="EP62" i="5" s="1"/>
  <c r="EQ62" i="5" s="1"/>
  <c r="ER62" i="5" s="1"/>
  <c r="EN59" i="5"/>
  <c r="EO59" i="5" s="1"/>
  <c r="EP59" i="5" s="1"/>
  <c r="EQ59" i="5" s="1"/>
  <c r="ER59" i="5" s="1"/>
  <c r="EN56" i="5"/>
  <c r="EO56" i="5" s="1"/>
  <c r="EP56" i="5" s="1"/>
  <c r="EQ56" i="5" s="1"/>
  <c r="ER56" i="5" s="1"/>
  <c r="EN61" i="5"/>
  <c r="EO61" i="5" s="1"/>
  <c r="EP61" i="5" s="1"/>
  <c r="EQ61" i="5" s="1"/>
  <c r="ER61" i="5" s="1"/>
  <c r="EN53" i="5"/>
  <c r="EO53" i="5" s="1"/>
  <c r="EP53" i="5" s="1"/>
  <c r="EQ53" i="5" s="1"/>
  <c r="ER53" i="5" s="1"/>
  <c r="EN55" i="5"/>
  <c r="EO55" i="5" s="1"/>
  <c r="EP55" i="5" s="1"/>
  <c r="EQ55" i="5" s="1"/>
  <c r="ER55" i="5" s="1"/>
  <c r="EN58" i="5"/>
  <c r="EO58" i="5" s="1"/>
  <c r="EP58" i="5" s="1"/>
  <c r="EQ58" i="5" s="1"/>
  <c r="ER58" i="5" s="1"/>
  <c r="EN57" i="5"/>
  <c r="EO57" i="5" s="1"/>
  <c r="EP57" i="5" s="1"/>
  <c r="EQ57" i="5" s="1"/>
  <c r="ER57" i="5" s="1"/>
  <c r="EN60" i="5"/>
  <c r="EO60" i="5" s="1"/>
  <c r="EP60" i="5" s="1"/>
  <c r="EQ60" i="5" s="1"/>
  <c r="ER60" i="5" s="1"/>
  <c r="EN54" i="5"/>
  <c r="EO54" i="5" s="1"/>
  <c r="EP54" i="5" s="1"/>
  <c r="EQ54" i="5" s="1"/>
  <c r="ER54" i="5" s="1"/>
  <c r="EN69" i="5"/>
  <c r="EO69" i="5" s="1"/>
  <c r="EP69" i="5" s="1"/>
  <c r="EQ69" i="5" s="1"/>
  <c r="ER69" i="5" s="1"/>
  <c r="EN26" i="5"/>
  <c r="EO26" i="5" s="1"/>
  <c r="EP26" i="5" s="1"/>
  <c r="EQ26" i="5" s="1"/>
  <c r="ER26" i="5" s="1"/>
  <c r="EN46" i="5"/>
  <c r="EO46" i="5" s="1"/>
  <c r="EP46" i="5" s="1"/>
  <c r="EQ46" i="5" s="1"/>
  <c r="ER46" i="5" s="1"/>
  <c r="EN45" i="5"/>
  <c r="EO45" i="5" s="1"/>
  <c r="EP45" i="5" s="1"/>
  <c r="EQ45" i="5" s="1"/>
  <c r="ER45" i="5" s="1"/>
  <c r="EN50" i="5"/>
  <c r="EO50" i="5" s="1"/>
  <c r="EP50" i="5" s="1"/>
  <c r="EQ50" i="5" s="1"/>
  <c r="ER50" i="5" s="1"/>
  <c r="EN28" i="5"/>
  <c r="EO28" i="5" s="1"/>
  <c r="EP28" i="5" s="1"/>
  <c r="EQ28" i="5" s="1"/>
  <c r="ER28" i="5" s="1"/>
  <c r="EN47" i="5"/>
  <c r="EO47" i="5" s="1"/>
  <c r="EP47" i="5" s="1"/>
  <c r="EQ47" i="5" s="1"/>
  <c r="ER47" i="5" s="1"/>
  <c r="EN51" i="5"/>
  <c r="EO51" i="5" s="1"/>
  <c r="EP51" i="5" s="1"/>
  <c r="EQ51" i="5" s="1"/>
  <c r="ER51" i="5" s="1"/>
  <c r="EN42" i="5"/>
  <c r="EO42" i="5" s="1"/>
  <c r="EP42" i="5" s="1"/>
  <c r="EQ42" i="5" s="1"/>
  <c r="ER42" i="5" s="1"/>
  <c r="EN43" i="5"/>
  <c r="EO43" i="5" s="1"/>
  <c r="EP43" i="5" s="1"/>
  <c r="EQ43" i="5" s="1"/>
  <c r="ER43" i="5" s="1"/>
  <c r="EN29" i="5"/>
  <c r="EO29" i="5" s="1"/>
  <c r="EP29" i="5" s="1"/>
  <c r="EQ29" i="5" s="1"/>
  <c r="ER29" i="5" s="1"/>
  <c r="EN37" i="5"/>
  <c r="EO37" i="5" s="1"/>
  <c r="EP37" i="5" s="1"/>
  <c r="EQ37" i="5" s="1"/>
  <c r="ER37" i="5" s="1"/>
  <c r="EN38" i="5"/>
  <c r="EO38" i="5" s="1"/>
  <c r="EP38" i="5" s="1"/>
  <c r="EQ38" i="5" s="1"/>
  <c r="ER38" i="5" s="1"/>
  <c r="EN22" i="5"/>
  <c r="EO22" i="5" s="1"/>
  <c r="EP22" i="5" s="1"/>
  <c r="EQ22" i="5" s="1"/>
  <c r="ER22" i="5" s="1"/>
  <c r="EN23" i="5"/>
  <c r="EO23" i="5" s="1"/>
  <c r="EP23" i="5" s="1"/>
  <c r="EQ23" i="5" s="1"/>
  <c r="ER23" i="5" s="1"/>
  <c r="EN36" i="5"/>
  <c r="EO36" i="5" s="1"/>
  <c r="EP36" i="5" s="1"/>
  <c r="EQ36" i="5" s="1"/>
  <c r="ER36" i="5" s="1"/>
  <c r="EN16" i="5"/>
  <c r="EO16" i="5" s="1"/>
  <c r="EP16" i="5" s="1"/>
  <c r="EQ16" i="5" s="1"/>
  <c r="ER16" i="5" s="1"/>
  <c r="EN17" i="5"/>
  <c r="EO17" i="5" s="1"/>
  <c r="EP17" i="5" s="1"/>
  <c r="EQ17" i="5" s="1"/>
  <c r="ER17" i="5" s="1"/>
  <c r="EN12" i="5"/>
  <c r="EO12" i="5" s="1"/>
  <c r="EP12" i="5" s="1"/>
  <c r="EQ12" i="5" s="1"/>
  <c r="ER12" i="5" s="1"/>
  <c r="EN10" i="5"/>
  <c r="EO10" i="5" s="1"/>
  <c r="EP10" i="5" s="1"/>
  <c r="EQ10" i="5" s="1"/>
  <c r="ER10" i="5" s="1"/>
  <c r="EN8" i="5"/>
  <c r="EO8" i="5" s="1"/>
  <c r="EP8" i="5" s="1"/>
  <c r="EQ8" i="5" s="1"/>
  <c r="ER8" i="5" s="1"/>
  <c r="EN11" i="5"/>
  <c r="EO11" i="5" s="1"/>
  <c r="EP11" i="5" s="1"/>
  <c r="EQ11" i="5" s="1"/>
  <c r="ER11" i="5" s="1"/>
  <c r="EN9" i="5"/>
  <c r="EO9" i="5" s="1"/>
  <c r="EP9" i="5" s="1"/>
  <c r="EQ9" i="5" s="1"/>
  <c r="ER9" i="5" s="1"/>
  <c r="EN68" i="5"/>
  <c r="EO68" i="5" s="1"/>
  <c r="EP68" i="5" s="1"/>
  <c r="EQ68" i="5" s="1"/>
  <c r="ER68" i="5" s="1"/>
  <c r="EN39" i="5"/>
  <c r="EO39" i="5" s="1"/>
  <c r="EP39" i="5" s="1"/>
  <c r="EQ39" i="5" s="1"/>
  <c r="ER39" i="5" s="1"/>
  <c r="EN21" i="5"/>
  <c r="EO21" i="5" s="1"/>
  <c r="EP21" i="5" s="1"/>
  <c r="EQ21" i="5" s="1"/>
  <c r="ER21" i="5" s="1"/>
  <c r="EN6" i="5"/>
  <c r="EO6" i="5" s="1"/>
  <c r="EP6" i="5" s="1"/>
  <c r="EQ6" i="5" s="1"/>
  <c r="ER6" i="5" s="1"/>
  <c r="EN19" i="5"/>
  <c r="EO19" i="5" s="1"/>
  <c r="EP19" i="5" s="1"/>
  <c r="EQ19" i="5" s="1"/>
  <c r="ER19" i="5" s="1"/>
  <c r="EN4" i="5"/>
  <c r="EO4" i="5" s="1"/>
  <c r="EP4" i="5" s="1"/>
  <c r="EQ4" i="5" s="1"/>
  <c r="ER4" i="5" s="1"/>
  <c r="EN66" i="5"/>
  <c r="EO66" i="5" s="1"/>
  <c r="EP66" i="5" s="1"/>
  <c r="EQ66" i="5" s="1"/>
  <c r="ER66" i="5" s="1"/>
  <c r="EN52" i="5"/>
  <c r="EO52" i="5" s="1"/>
  <c r="EP52" i="5" s="1"/>
  <c r="EQ52" i="5" s="1"/>
  <c r="ER52" i="5" s="1"/>
  <c r="EN70" i="5"/>
  <c r="EO70" i="5" s="1"/>
  <c r="EP70" i="5" s="1"/>
  <c r="EQ70" i="5" s="1"/>
  <c r="ER70" i="5" s="1"/>
  <c r="EN33" i="5"/>
  <c r="EO33" i="5" s="1"/>
  <c r="EP33" i="5" s="1"/>
  <c r="EQ33" i="5" s="1"/>
  <c r="ER33" i="5" s="1"/>
  <c r="EN13" i="5"/>
  <c r="EO13" i="5" s="1"/>
  <c r="EP13" i="5" s="1"/>
  <c r="EQ13" i="5" s="1"/>
  <c r="ER13" i="5" s="1"/>
  <c r="EN67" i="5"/>
  <c r="EO67" i="5" s="1"/>
  <c r="EP67" i="5" s="1"/>
  <c r="EQ67" i="5" s="1"/>
  <c r="ER67" i="5" s="1"/>
  <c r="EN35" i="5"/>
  <c r="EO35" i="5" s="1"/>
  <c r="EP35" i="5" s="1"/>
  <c r="EQ35" i="5" s="1"/>
  <c r="ER35" i="5" s="1"/>
  <c r="EN30" i="5"/>
  <c r="EO30" i="5" s="1"/>
  <c r="EP30" i="5" s="1"/>
  <c r="EQ30" i="5" s="1"/>
  <c r="ER30" i="5" s="1"/>
  <c r="EN64" i="5"/>
  <c r="EO64" i="5" s="1"/>
  <c r="EP64" i="5" s="1"/>
  <c r="EQ64" i="5" s="1"/>
  <c r="ER64" i="5" s="1"/>
  <c r="EN24" i="5"/>
  <c r="EO24" i="5" s="1"/>
  <c r="EP24" i="5" s="1"/>
  <c r="EQ24" i="5" s="1"/>
  <c r="ER24" i="5" s="1"/>
  <c r="EN34" i="5"/>
  <c r="EO34" i="5" s="1"/>
  <c r="EP34" i="5" s="1"/>
  <c r="EQ34" i="5" s="1"/>
  <c r="ER34" i="5" s="1"/>
  <c r="EN7" i="5"/>
  <c r="EO7" i="5" s="1"/>
  <c r="EP7" i="5" s="1"/>
  <c r="EQ7" i="5" s="1"/>
  <c r="ER7" i="5" s="1"/>
  <c r="EN32" i="5"/>
  <c r="EO32" i="5" s="1"/>
  <c r="EP32" i="5" s="1"/>
  <c r="EQ32" i="5" s="1"/>
  <c r="ER32" i="5" s="1"/>
  <c r="EN5" i="5"/>
  <c r="EO5" i="5" s="1"/>
  <c r="EP5" i="5" s="1"/>
  <c r="EQ5" i="5" s="1"/>
  <c r="ER5" i="5" s="1"/>
  <c r="ES3" i="5"/>
  <c r="EN31" i="5"/>
  <c r="EO31" i="5" s="1"/>
  <c r="EP31" i="5" s="1"/>
  <c r="EQ31" i="5" s="1"/>
  <c r="ER31" i="5" s="1"/>
  <c r="EN65" i="5"/>
  <c r="EO65" i="5" s="1"/>
  <c r="EP65" i="5" s="1"/>
  <c r="EQ65" i="5" s="1"/>
  <c r="ER65" i="5" s="1"/>
  <c r="EN25" i="5"/>
  <c r="EO25" i="5" s="1"/>
  <c r="EP25" i="5" s="1"/>
  <c r="EQ25" i="5" s="1"/>
  <c r="ER25" i="5" s="1"/>
  <c r="EN49" i="5"/>
  <c r="EO49" i="5" s="1"/>
  <c r="EP49" i="5" s="1"/>
  <c r="EQ49" i="5" s="1"/>
  <c r="ER49" i="5" s="1"/>
  <c r="EN41" i="5"/>
  <c r="EO41" i="5" s="1"/>
  <c r="EP41" i="5" s="1"/>
  <c r="EQ41" i="5" s="1"/>
  <c r="ER41" i="5" s="1"/>
  <c r="EN40" i="5"/>
  <c r="EO40" i="5" s="1"/>
  <c r="EP40" i="5" s="1"/>
  <c r="EQ40" i="5" s="1"/>
  <c r="ER40" i="5" s="1"/>
  <c r="EN20" i="5"/>
  <c r="EO20" i="5" s="1"/>
  <c r="EP20" i="5" s="1"/>
  <c r="EQ20" i="5" s="1"/>
  <c r="ER20" i="5" s="1"/>
  <c r="EN18" i="5"/>
  <c r="EO18" i="5" s="1"/>
  <c r="EP18" i="5" s="1"/>
  <c r="EQ18" i="5" s="1"/>
  <c r="ER18" i="5" s="1"/>
  <c r="EN14" i="5"/>
  <c r="EO14" i="5" s="1"/>
  <c r="EP14" i="5" s="1"/>
  <c r="EQ14" i="5" s="1"/>
  <c r="ER14" i="5" s="1"/>
  <c r="EN63" i="5"/>
  <c r="EO63" i="5" s="1"/>
  <c r="EP63" i="5" s="1"/>
  <c r="EQ63" i="5" s="1"/>
  <c r="ER63" i="5" s="1"/>
  <c r="EN48" i="5"/>
  <c r="EO48" i="5" s="1"/>
  <c r="EP48" i="5" s="1"/>
  <c r="EQ48" i="5" s="1"/>
  <c r="ER48" i="5" s="1"/>
  <c r="EN44" i="5"/>
  <c r="EO44" i="5" s="1"/>
  <c r="EP44" i="5" s="1"/>
  <c r="EQ44" i="5" s="1"/>
  <c r="ER44" i="5" s="1"/>
  <c r="EN15" i="5"/>
  <c r="EO15" i="5" s="1"/>
  <c r="EP15" i="5" s="1"/>
  <c r="EQ15" i="5" s="1"/>
  <c r="ER15" i="5" s="1"/>
  <c r="ES62" i="5" l="1"/>
  <c r="ET62" i="5" s="1"/>
  <c r="EU62" i="5" s="1"/>
  <c r="EV62" i="5" s="1"/>
  <c r="EW62" i="5" s="1"/>
  <c r="ES59" i="5"/>
  <c r="ET59" i="5" s="1"/>
  <c r="EU59" i="5" s="1"/>
  <c r="EV59" i="5" s="1"/>
  <c r="EW59" i="5" s="1"/>
  <c r="ES56" i="5"/>
  <c r="ET56" i="5" s="1"/>
  <c r="EU56" i="5" s="1"/>
  <c r="EV56" i="5" s="1"/>
  <c r="EW56" i="5" s="1"/>
  <c r="ES61" i="5"/>
  <c r="ET61" i="5" s="1"/>
  <c r="EU61" i="5" s="1"/>
  <c r="EV61" i="5" s="1"/>
  <c r="EW61" i="5" s="1"/>
  <c r="ES53" i="5"/>
  <c r="ET53" i="5" s="1"/>
  <c r="EU53" i="5" s="1"/>
  <c r="EV53" i="5" s="1"/>
  <c r="EW53" i="5" s="1"/>
  <c r="ES55" i="5"/>
  <c r="ET55" i="5" s="1"/>
  <c r="EU55" i="5" s="1"/>
  <c r="EV55" i="5" s="1"/>
  <c r="EW55" i="5" s="1"/>
  <c r="ES58" i="5"/>
  <c r="ET58" i="5" s="1"/>
  <c r="EU58" i="5" s="1"/>
  <c r="EV58" i="5" s="1"/>
  <c r="EW58" i="5" s="1"/>
  <c r="ES57" i="5"/>
  <c r="ET57" i="5" s="1"/>
  <c r="EU57" i="5" s="1"/>
  <c r="EV57" i="5" s="1"/>
  <c r="EW57" i="5" s="1"/>
  <c r="ES60" i="5"/>
  <c r="ET60" i="5" s="1"/>
  <c r="EU60" i="5" s="1"/>
  <c r="EV60" i="5" s="1"/>
  <c r="EW60" i="5" s="1"/>
  <c r="ES54" i="5"/>
  <c r="ET54" i="5" s="1"/>
  <c r="EU54" i="5" s="1"/>
  <c r="EV54" i="5" s="1"/>
  <c r="EW54" i="5" s="1"/>
  <c r="ES69" i="5"/>
  <c r="ET69" i="5" s="1"/>
  <c r="EU69" i="5" s="1"/>
  <c r="EV69" i="5" s="1"/>
  <c r="EW69" i="5" s="1"/>
  <c r="ES46" i="5"/>
  <c r="ET46" i="5" s="1"/>
  <c r="EU46" i="5" s="1"/>
  <c r="EV46" i="5" s="1"/>
  <c r="EW46" i="5" s="1"/>
  <c r="ES45" i="5"/>
  <c r="ET45" i="5" s="1"/>
  <c r="EU45" i="5" s="1"/>
  <c r="EV45" i="5" s="1"/>
  <c r="EW45" i="5" s="1"/>
  <c r="ES50" i="5"/>
  <c r="ET50" i="5" s="1"/>
  <c r="EU50" i="5" s="1"/>
  <c r="EV50" i="5" s="1"/>
  <c r="EW50" i="5" s="1"/>
  <c r="ES28" i="5"/>
  <c r="ET28" i="5" s="1"/>
  <c r="EU28" i="5" s="1"/>
  <c r="EV28" i="5" s="1"/>
  <c r="EW28" i="5" s="1"/>
  <c r="ES47" i="5"/>
  <c r="ET47" i="5" s="1"/>
  <c r="EU47" i="5" s="1"/>
  <c r="EV47" i="5" s="1"/>
  <c r="EW47" i="5" s="1"/>
  <c r="ES51" i="5"/>
  <c r="ET51" i="5" s="1"/>
  <c r="EU51" i="5" s="1"/>
  <c r="EV51" i="5" s="1"/>
  <c r="EW51" i="5" s="1"/>
  <c r="ES42" i="5"/>
  <c r="ET42" i="5" s="1"/>
  <c r="EU42" i="5" s="1"/>
  <c r="EV42" i="5" s="1"/>
  <c r="EW42" i="5" s="1"/>
  <c r="ES43" i="5"/>
  <c r="ET43" i="5" s="1"/>
  <c r="EU43" i="5" s="1"/>
  <c r="EV43" i="5" s="1"/>
  <c r="EW43" i="5" s="1"/>
  <c r="ES26" i="5"/>
  <c r="ET26" i="5" s="1"/>
  <c r="EU26" i="5" s="1"/>
  <c r="EV26" i="5" s="1"/>
  <c r="EW26" i="5" s="1"/>
  <c r="ES29" i="5"/>
  <c r="ET29" i="5" s="1"/>
  <c r="EU29" i="5" s="1"/>
  <c r="EV29" i="5" s="1"/>
  <c r="EW29" i="5" s="1"/>
  <c r="ES37" i="5"/>
  <c r="ET37" i="5" s="1"/>
  <c r="EU37" i="5" s="1"/>
  <c r="EV37" i="5" s="1"/>
  <c r="EW37" i="5" s="1"/>
  <c r="ES38" i="5"/>
  <c r="ET38" i="5" s="1"/>
  <c r="EU38" i="5" s="1"/>
  <c r="EV38" i="5" s="1"/>
  <c r="EW38" i="5" s="1"/>
  <c r="ES22" i="5"/>
  <c r="ET22" i="5" s="1"/>
  <c r="EU22" i="5" s="1"/>
  <c r="EV22" i="5" s="1"/>
  <c r="EW22" i="5" s="1"/>
  <c r="ES36" i="5"/>
  <c r="ET36" i="5" s="1"/>
  <c r="EU36" i="5" s="1"/>
  <c r="EV36" i="5" s="1"/>
  <c r="EW36" i="5" s="1"/>
  <c r="ES23" i="5"/>
  <c r="ET23" i="5" s="1"/>
  <c r="EU23" i="5" s="1"/>
  <c r="EV23" i="5" s="1"/>
  <c r="EW23" i="5" s="1"/>
  <c r="ES16" i="5"/>
  <c r="ET16" i="5" s="1"/>
  <c r="EU16" i="5" s="1"/>
  <c r="EV16" i="5" s="1"/>
  <c r="EW16" i="5" s="1"/>
  <c r="ES17" i="5"/>
  <c r="ET17" i="5" s="1"/>
  <c r="EU17" i="5" s="1"/>
  <c r="EV17" i="5" s="1"/>
  <c r="EW17" i="5" s="1"/>
  <c r="ES8" i="5"/>
  <c r="ET8" i="5" s="1"/>
  <c r="EU8" i="5" s="1"/>
  <c r="EV8" i="5" s="1"/>
  <c r="EW8" i="5" s="1"/>
  <c r="ES12" i="5"/>
  <c r="ET12" i="5" s="1"/>
  <c r="EU12" i="5" s="1"/>
  <c r="EV12" i="5" s="1"/>
  <c r="EW12" i="5" s="1"/>
  <c r="ES4" i="5"/>
  <c r="ET4" i="5" s="1"/>
  <c r="EU4" i="5" s="1"/>
  <c r="EV4" i="5" s="1"/>
  <c r="EW4" i="5" s="1"/>
  <c r="ES11" i="5"/>
  <c r="ET11" i="5" s="1"/>
  <c r="EU11" i="5" s="1"/>
  <c r="EV11" i="5" s="1"/>
  <c r="EW11" i="5" s="1"/>
  <c r="ES10" i="5"/>
  <c r="ET10" i="5" s="1"/>
  <c r="EU10" i="5" s="1"/>
  <c r="EV10" i="5" s="1"/>
  <c r="EW10" i="5" s="1"/>
  <c r="ES9" i="5"/>
  <c r="ET9" i="5" s="1"/>
  <c r="EU9" i="5" s="1"/>
  <c r="EV9" i="5" s="1"/>
  <c r="EW9" i="5" s="1"/>
  <c r="ES44" i="5"/>
  <c r="ET44" i="5" s="1"/>
  <c r="EU44" i="5" s="1"/>
  <c r="EV44" i="5" s="1"/>
  <c r="EW44" i="5" s="1"/>
  <c r="ES30" i="5"/>
  <c r="ET30" i="5" s="1"/>
  <c r="EU30" i="5" s="1"/>
  <c r="EV30" i="5" s="1"/>
  <c r="EW30" i="5" s="1"/>
  <c r="ES70" i="5"/>
  <c r="ET70" i="5" s="1"/>
  <c r="EU70" i="5" s="1"/>
  <c r="EV70" i="5" s="1"/>
  <c r="EW70" i="5" s="1"/>
  <c r="ES25" i="5"/>
  <c r="ET25" i="5" s="1"/>
  <c r="EU25" i="5" s="1"/>
  <c r="EV25" i="5" s="1"/>
  <c r="EW25" i="5" s="1"/>
  <c r="ES68" i="5"/>
  <c r="ET68" i="5" s="1"/>
  <c r="EU68" i="5" s="1"/>
  <c r="EV68" i="5" s="1"/>
  <c r="EW68" i="5" s="1"/>
  <c r="ES40" i="5"/>
  <c r="ET40" i="5" s="1"/>
  <c r="EU40" i="5" s="1"/>
  <c r="EV40" i="5" s="1"/>
  <c r="EW40" i="5" s="1"/>
  <c r="ES41" i="5"/>
  <c r="ET41" i="5" s="1"/>
  <c r="EU41" i="5" s="1"/>
  <c r="EV41" i="5" s="1"/>
  <c r="EW41" i="5" s="1"/>
  <c r="ES21" i="5"/>
  <c r="ET21" i="5" s="1"/>
  <c r="EU21" i="5" s="1"/>
  <c r="EV21" i="5" s="1"/>
  <c r="EW21" i="5" s="1"/>
  <c r="ES7" i="5"/>
  <c r="ET7" i="5" s="1"/>
  <c r="EU7" i="5" s="1"/>
  <c r="EV7" i="5" s="1"/>
  <c r="EW7" i="5" s="1"/>
  <c r="ES18" i="5"/>
  <c r="ET18" i="5" s="1"/>
  <c r="EU18" i="5" s="1"/>
  <c r="EV18" i="5" s="1"/>
  <c r="EW18" i="5" s="1"/>
  <c r="ES67" i="5"/>
  <c r="ET67" i="5" s="1"/>
  <c r="EU67" i="5" s="1"/>
  <c r="EV67" i="5" s="1"/>
  <c r="EW67" i="5" s="1"/>
  <c r="ES34" i="5"/>
  <c r="ET34" i="5" s="1"/>
  <c r="EU34" i="5" s="1"/>
  <c r="EV34" i="5" s="1"/>
  <c r="EW34" i="5" s="1"/>
  <c r="ES48" i="5"/>
  <c r="ET48" i="5" s="1"/>
  <c r="EU48" i="5" s="1"/>
  <c r="EV48" i="5" s="1"/>
  <c r="EW48" i="5" s="1"/>
  <c r="ES13" i="5"/>
  <c r="ET13" i="5" s="1"/>
  <c r="EU13" i="5" s="1"/>
  <c r="EV13" i="5" s="1"/>
  <c r="EW13" i="5" s="1"/>
  <c r="ES15" i="5"/>
  <c r="ET15" i="5" s="1"/>
  <c r="EU15" i="5" s="1"/>
  <c r="EV15" i="5" s="1"/>
  <c r="EW15" i="5" s="1"/>
  <c r="EX3" i="5"/>
  <c r="ES39" i="5"/>
  <c r="ET39" i="5" s="1"/>
  <c r="EU39" i="5" s="1"/>
  <c r="EV39" i="5" s="1"/>
  <c r="EW39" i="5" s="1"/>
  <c r="ES35" i="5"/>
  <c r="ET35" i="5" s="1"/>
  <c r="EU35" i="5" s="1"/>
  <c r="EV35" i="5" s="1"/>
  <c r="EW35" i="5" s="1"/>
  <c r="ES14" i="5"/>
  <c r="ET14" i="5" s="1"/>
  <c r="EU14" i="5" s="1"/>
  <c r="EV14" i="5" s="1"/>
  <c r="EW14" i="5" s="1"/>
  <c r="ES33" i="5"/>
  <c r="ET33" i="5" s="1"/>
  <c r="EU33" i="5" s="1"/>
  <c r="EV33" i="5" s="1"/>
  <c r="EW33" i="5" s="1"/>
  <c r="ES24" i="5"/>
  <c r="ET24" i="5" s="1"/>
  <c r="EU24" i="5" s="1"/>
  <c r="EV24" i="5" s="1"/>
  <c r="EW24" i="5" s="1"/>
  <c r="ES20" i="5"/>
  <c r="ET20" i="5" s="1"/>
  <c r="EU20" i="5" s="1"/>
  <c r="EV20" i="5" s="1"/>
  <c r="EW20" i="5" s="1"/>
  <c r="ES66" i="5"/>
  <c r="ET66" i="5" s="1"/>
  <c r="EU66" i="5" s="1"/>
  <c r="EV66" i="5" s="1"/>
  <c r="EW66" i="5" s="1"/>
  <c r="ES65" i="5"/>
  <c r="ET65" i="5" s="1"/>
  <c r="EU65" i="5" s="1"/>
  <c r="EV65" i="5" s="1"/>
  <c r="EW65" i="5" s="1"/>
  <c r="ES64" i="5"/>
  <c r="ET64" i="5" s="1"/>
  <c r="EU64" i="5" s="1"/>
  <c r="EV64" i="5" s="1"/>
  <c r="EW64" i="5" s="1"/>
  <c r="ES63" i="5"/>
  <c r="ET63" i="5" s="1"/>
  <c r="EU63" i="5" s="1"/>
  <c r="EV63" i="5" s="1"/>
  <c r="EW63" i="5" s="1"/>
  <c r="ES6" i="5"/>
  <c r="ET6" i="5" s="1"/>
  <c r="EU6" i="5" s="1"/>
  <c r="EV6" i="5" s="1"/>
  <c r="EW6" i="5" s="1"/>
  <c r="ES49" i="5"/>
  <c r="ET49" i="5" s="1"/>
  <c r="EU49" i="5" s="1"/>
  <c r="EV49" i="5" s="1"/>
  <c r="EW49" i="5" s="1"/>
  <c r="ES32" i="5"/>
  <c r="ET32" i="5" s="1"/>
  <c r="EU32" i="5" s="1"/>
  <c r="EV32" i="5" s="1"/>
  <c r="EW32" i="5" s="1"/>
  <c r="ES31" i="5"/>
  <c r="ET31" i="5" s="1"/>
  <c r="EU31" i="5" s="1"/>
  <c r="EV31" i="5" s="1"/>
  <c r="EW31" i="5" s="1"/>
  <c r="ES19" i="5"/>
  <c r="ET19" i="5" s="1"/>
  <c r="EU19" i="5" s="1"/>
  <c r="EV19" i="5" s="1"/>
  <c r="EW19" i="5" s="1"/>
  <c r="ES52" i="5"/>
  <c r="ET52" i="5" s="1"/>
  <c r="EU52" i="5" s="1"/>
  <c r="EV52" i="5" s="1"/>
  <c r="EW52" i="5" s="1"/>
  <c r="ES5" i="5"/>
  <c r="ET5" i="5" s="1"/>
  <c r="EU5" i="5" s="1"/>
  <c r="EV5" i="5" s="1"/>
  <c r="EW5" i="5" s="1"/>
  <c r="EX59" i="5" l="1"/>
  <c r="EY61" i="5" s="1"/>
  <c r="EZ62" i="5" s="1"/>
  <c r="EX56" i="5"/>
  <c r="EY57" i="5" s="1"/>
  <c r="EX61" i="5"/>
  <c r="EY62" i="5" s="1"/>
  <c r="EX55" i="5"/>
  <c r="EY56" i="5" s="1"/>
  <c r="EZ57" i="5" s="1"/>
  <c r="EX53" i="5"/>
  <c r="EY54" i="5" s="1"/>
  <c r="EZ55" i="5" s="1"/>
  <c r="FA56" i="5" s="1"/>
  <c r="FB57" i="5" s="1"/>
  <c r="EX58" i="5"/>
  <c r="EX54" i="5"/>
  <c r="EY55" i="5" s="1"/>
  <c r="EZ56" i="5" s="1"/>
  <c r="FA57" i="5" s="1"/>
  <c r="EX60" i="5"/>
  <c r="EX57" i="5"/>
  <c r="EX62" i="5"/>
  <c r="EX69" i="5"/>
  <c r="EX47" i="5"/>
  <c r="EX51" i="5"/>
  <c r="EX42" i="5"/>
  <c r="EX43" i="5"/>
  <c r="EX26" i="5"/>
  <c r="EY28" i="5" s="1"/>
  <c r="EX45" i="5"/>
  <c r="EY46" i="5" s="1"/>
  <c r="EZ47" i="5" s="1"/>
  <c r="EX46" i="5"/>
  <c r="EY47" i="5" s="1"/>
  <c r="EX50" i="5"/>
  <c r="EX28" i="5"/>
  <c r="EX38" i="5"/>
  <c r="EX29" i="5"/>
  <c r="EX37" i="5"/>
  <c r="EY38" i="5" s="1"/>
  <c r="EX36" i="5"/>
  <c r="EY37" i="5" s="1"/>
  <c r="EZ38" i="5" s="1"/>
  <c r="EY29" i="5"/>
  <c r="EX23" i="5"/>
  <c r="EZ29" i="5" s="1"/>
  <c r="EX22" i="5"/>
  <c r="EY23" i="5" s="1"/>
  <c r="FA29" i="5" s="1"/>
  <c r="EX16" i="5"/>
  <c r="EY17" i="5" s="1"/>
  <c r="EX17" i="5"/>
  <c r="EX11" i="5"/>
  <c r="EX9" i="5"/>
  <c r="EY10" i="5" s="1"/>
  <c r="EX8" i="5"/>
  <c r="EY9" i="5" s="1"/>
  <c r="EZ10" i="5" s="1"/>
  <c r="EX12" i="5"/>
  <c r="EX10" i="5"/>
  <c r="EX48" i="5"/>
  <c r="EY51" i="5" s="1"/>
  <c r="EX33" i="5"/>
  <c r="EZ34" i="5" s="1"/>
  <c r="FA35" i="5" s="1"/>
  <c r="EX41" i="5"/>
  <c r="EY30" i="5"/>
  <c r="EZ31" i="5" s="1"/>
  <c r="FA32" i="5" s="1"/>
  <c r="FB33" i="5" s="1"/>
  <c r="EX14" i="5"/>
  <c r="EY15" i="5" s="1"/>
  <c r="EX13" i="5"/>
  <c r="EY14" i="5" s="1"/>
  <c r="EZ15" i="5" s="1"/>
  <c r="EX67" i="5"/>
  <c r="EY68" i="5" s="1"/>
  <c r="EX66" i="5"/>
  <c r="EY67" i="5" s="1"/>
  <c r="EZ68" i="5" s="1"/>
  <c r="EX70" i="5"/>
  <c r="EX25" i="5"/>
  <c r="EY27" i="5" s="1"/>
  <c r="EX68" i="5"/>
  <c r="EX40" i="5"/>
  <c r="EX24" i="5"/>
  <c r="EY25" i="5" s="1"/>
  <c r="EZ27" i="5" s="1"/>
  <c r="EY13" i="5"/>
  <c r="EZ14" i="5" s="1"/>
  <c r="FA15" i="5" s="1"/>
  <c r="FB16" i="5" s="1"/>
  <c r="EZ13" i="5"/>
  <c r="FA14" i="5" s="1"/>
  <c r="FB15" i="5" s="1"/>
  <c r="EY40" i="5"/>
  <c r="EX21" i="5"/>
  <c r="EY4" i="5"/>
  <c r="EZ5" i="5" s="1"/>
  <c r="FA6" i="5" s="1"/>
  <c r="FB7" i="5" s="1"/>
  <c r="EX19" i="5"/>
  <c r="EY20" i="5" s="1"/>
  <c r="EZ21" i="5" s="1"/>
  <c r="EX4" i="5"/>
  <c r="EY5" i="5" s="1"/>
  <c r="EZ6" i="5" s="1"/>
  <c r="FA7" i="5" s="1"/>
  <c r="EX44" i="5"/>
  <c r="EX15" i="5"/>
  <c r="EY34" i="5"/>
  <c r="EZ35" i="5" s="1"/>
  <c r="EX31" i="5"/>
  <c r="EY32" i="5" s="1"/>
  <c r="EZ33" i="5" s="1"/>
  <c r="FB34" i="5" s="1"/>
  <c r="EX18" i="5"/>
  <c r="EY19" i="5" s="1"/>
  <c r="EZ20" i="5" s="1"/>
  <c r="FA21" i="5" s="1"/>
  <c r="EX39" i="5"/>
  <c r="EZ40" i="5" s="1"/>
  <c r="EX35" i="5"/>
  <c r="EX34" i="5"/>
  <c r="EY35" i="5" s="1"/>
  <c r="EX7" i="5"/>
  <c r="EX65" i="5"/>
  <c r="EY66" i="5" s="1"/>
  <c r="EZ67" i="5" s="1"/>
  <c r="FA68" i="5" s="1"/>
  <c r="EX6" i="5"/>
  <c r="EY7" i="5" s="1"/>
  <c r="EX64" i="5"/>
  <c r="EY65" i="5" s="1"/>
  <c r="EZ66" i="5" s="1"/>
  <c r="FA67" i="5" s="1"/>
  <c r="FB68" i="5" s="1"/>
  <c r="EX32" i="5"/>
  <c r="EY33" i="5" s="1"/>
  <c r="FA34" i="5" s="1"/>
  <c r="FB35" i="5" s="1"/>
  <c r="EX63" i="5"/>
  <c r="EY64" i="5" s="1"/>
  <c r="EZ65" i="5" s="1"/>
  <c r="FA66" i="5" s="1"/>
  <c r="FB67" i="5" s="1"/>
  <c r="EX5" i="5"/>
  <c r="EY6" i="5" s="1"/>
  <c r="EZ7" i="5" s="1"/>
  <c r="EX52" i="5"/>
  <c r="EX30" i="5"/>
  <c r="EY31" i="5" s="1"/>
  <c r="EZ32" i="5" s="1"/>
  <c r="FA33" i="5" s="1"/>
  <c r="EX49" i="5"/>
  <c r="EY52" i="5" s="1"/>
  <c r="EX20" i="5"/>
  <c r="EY21" i="5" s="1"/>
  <c r="EY60" i="5" l="1"/>
  <c r="EY59" i="5"/>
  <c r="EZ61" i="5" s="1"/>
  <c r="FA62" i="5" s="1"/>
  <c r="EZ41" i="5"/>
  <c r="FA44" i="5" s="1"/>
  <c r="EZ43" i="5"/>
  <c r="FA41" i="5"/>
  <c r="FB44" i="5" s="1"/>
  <c r="FA43" i="5"/>
  <c r="EY48" i="5"/>
  <c r="EZ51" i="5" s="1"/>
  <c r="EY45" i="5"/>
  <c r="EZ46" i="5" s="1"/>
  <c r="FA47" i="5" s="1"/>
  <c r="EZ49" i="5"/>
  <c r="FA52" i="5" s="1"/>
  <c r="EZ50" i="5"/>
  <c r="EY49" i="5"/>
  <c r="EZ52" i="5" s="1"/>
  <c r="FA63" i="5" s="1"/>
  <c r="FB64" i="5" s="1"/>
  <c r="EY50" i="5"/>
  <c r="EY41" i="5"/>
  <c r="EZ44" i="5" s="1"/>
  <c r="EY43" i="5"/>
  <c r="EY44" i="5"/>
  <c r="EY42" i="5"/>
  <c r="FA30" i="5"/>
  <c r="FB31" i="5" s="1"/>
  <c r="EZ26" i="5"/>
  <c r="FA28" i="5" s="1"/>
  <c r="EZ30" i="5"/>
  <c r="FA31" i="5" s="1"/>
  <c r="FB32" i="5" s="1"/>
  <c r="EY26" i="5"/>
  <c r="EZ28" i="5" s="1"/>
  <c r="EY70" i="5"/>
  <c r="EY69" i="5"/>
  <c r="EZ70" i="5"/>
  <c r="EZ69" i="5"/>
  <c r="FB70" i="5"/>
  <c r="FB69" i="5"/>
  <c r="FA70" i="5"/>
  <c r="FA69" i="5"/>
  <c r="EY18" i="5"/>
  <c r="EZ19" i="5" s="1"/>
  <c r="FA20" i="5" s="1"/>
  <c r="FB21" i="5" s="1"/>
  <c r="EY63" i="5"/>
  <c r="EZ64" i="5" s="1"/>
  <c r="FA65" i="5" s="1"/>
  <c r="FB66" i="5" s="1"/>
  <c r="EZ63" i="5"/>
  <c r="FA64" i="5" s="1"/>
  <c r="FB65" i="5" s="1"/>
  <c r="EZ39" i="5"/>
  <c r="FB40" i="5" s="1"/>
  <c r="EZ36" i="5"/>
  <c r="FA37" i="5" s="1"/>
  <c r="FB38" i="5" s="1"/>
  <c r="FB39" i="5"/>
  <c r="FB36" i="5"/>
  <c r="EY39" i="5"/>
  <c r="FA40" i="5" s="1"/>
  <c r="EY36" i="5"/>
  <c r="EZ37" i="5" s="1"/>
  <c r="FA38" i="5" s="1"/>
  <c r="FA39" i="5"/>
  <c r="FA36" i="5"/>
  <c r="FB37" i="5" s="1"/>
  <c r="EZ24" i="5"/>
  <c r="FA25" i="5" s="1"/>
  <c r="FB27" i="5" s="1"/>
  <c r="EZ22" i="5"/>
  <c r="FA23" i="5" s="1"/>
  <c r="FA24" i="5"/>
  <c r="FB25" i="5" s="1"/>
  <c r="FA22" i="5"/>
  <c r="FB23" i="5" s="1"/>
  <c r="FB24" i="5"/>
  <c r="FB22" i="5"/>
  <c r="EY24" i="5"/>
  <c r="EZ25" i="5" s="1"/>
  <c r="FA27" i="5" s="1"/>
  <c r="EY22" i="5"/>
  <c r="EZ23" i="5" s="1"/>
  <c r="FB29" i="5" s="1"/>
  <c r="EY16" i="5"/>
  <c r="EZ17" i="5" s="1"/>
  <c r="FA16" i="5"/>
  <c r="EZ16" i="5"/>
  <c r="FA12" i="5"/>
  <c r="FA11" i="5"/>
  <c r="EZ12" i="5"/>
  <c r="EZ11" i="5"/>
  <c r="FA13" i="5"/>
  <c r="FB14" i="5" s="1"/>
  <c r="EY8" i="5"/>
  <c r="EZ9" i="5" s="1"/>
  <c r="FA10" i="5" s="1"/>
  <c r="EY11" i="5"/>
  <c r="EY12" i="5"/>
  <c r="FB8" i="5"/>
  <c r="FB13" i="5"/>
  <c r="EZ8" i="5"/>
  <c r="FA9" i="5" s="1"/>
  <c r="FB10" i="5" s="1"/>
  <c r="FA8" i="5"/>
  <c r="FB9" i="5" s="1"/>
  <c r="EZ42" i="5" l="1"/>
  <c r="FA42" i="5"/>
  <c r="FB41" i="5"/>
  <c r="FB43" i="5"/>
  <c r="FB42" i="5"/>
  <c r="FB63" i="5"/>
  <c r="EZ48" i="5"/>
  <c r="FA51" i="5" s="1"/>
  <c r="EZ45" i="5"/>
  <c r="FA46" i="5" s="1"/>
  <c r="FB47" i="5" s="1"/>
  <c r="FB48" i="5"/>
  <c r="FB45" i="5"/>
  <c r="FA48" i="5"/>
  <c r="FB51" i="5" s="1"/>
  <c r="FA45" i="5"/>
  <c r="FB46" i="5" s="1"/>
  <c r="FA49" i="5"/>
  <c r="FB52" i="5" s="1"/>
  <c r="FA50" i="5"/>
  <c r="FB49" i="5"/>
  <c r="FB26" i="5"/>
  <c r="FB30" i="5"/>
  <c r="FA26" i="5"/>
  <c r="FB28" i="5" s="1"/>
  <c r="FA18" i="5"/>
  <c r="FB19" i="5" s="1"/>
  <c r="FA17" i="5"/>
  <c r="FB18" i="5"/>
  <c r="FB17" i="5"/>
  <c r="EZ18" i="5"/>
  <c r="FA19" i="5" s="1"/>
  <c r="FB20" i="5" s="1"/>
  <c r="FB12" i="5"/>
  <c r="FB11" i="5"/>
  <c r="FB50" i="5" l="1"/>
</calcChain>
</file>

<file path=xl/sharedStrings.xml><?xml version="1.0" encoding="utf-8"?>
<sst xmlns="http://schemas.openxmlformats.org/spreadsheetml/2006/main" count="252" uniqueCount="145">
  <si>
    <t>Biz.</t>
    <phoneticPr fontId="4" type="noConversion"/>
  </si>
  <si>
    <t>Phase</t>
    <phoneticPr fontId="4" type="noConversion"/>
  </si>
  <si>
    <t>Task</t>
    <phoneticPr fontId="4" type="noConversion"/>
  </si>
  <si>
    <t>Activity</t>
    <phoneticPr fontId="4" type="noConversion"/>
  </si>
  <si>
    <t>담당</t>
    <phoneticPr fontId="4" type="noConversion"/>
  </si>
  <si>
    <t>Status</t>
    <phoneticPr fontId="2" type="noConversion"/>
  </si>
  <si>
    <t>산출물</t>
    <phoneticPr fontId="2" type="noConversion"/>
  </si>
  <si>
    <t>계획</t>
    <phoneticPr fontId="4" type="noConversion"/>
  </si>
  <si>
    <t>진도관리</t>
    <phoneticPr fontId="4" type="noConversion"/>
  </si>
  <si>
    <t>가중치</t>
    <phoneticPr fontId="4" type="noConversion"/>
  </si>
  <si>
    <t>계획</t>
    <phoneticPr fontId="2" type="noConversion"/>
  </si>
  <si>
    <t>실적</t>
    <phoneticPr fontId="2" type="noConversion"/>
  </si>
  <si>
    <t>달성율</t>
    <phoneticPr fontId="2" type="noConversion"/>
  </si>
  <si>
    <t>W01</t>
    <phoneticPr fontId="2" type="noConversion"/>
  </si>
  <si>
    <t>PMO</t>
    <phoneticPr fontId="2" type="noConversion"/>
  </si>
  <si>
    <t>ERP</t>
    <phoneticPr fontId="2" type="noConversion"/>
  </si>
  <si>
    <t>Start</t>
    <phoneticPr fontId="4" type="noConversion"/>
  </si>
  <si>
    <t>End</t>
    <phoneticPr fontId="4" type="noConversion"/>
  </si>
  <si>
    <t>●</t>
    <phoneticPr fontId="2" type="noConversion"/>
  </si>
  <si>
    <t>현황 파악 (As-Is 프로세스, 시스템 현황, 조직 구성 등)</t>
    <phoneticPr fontId="2" type="noConversion"/>
  </si>
  <si>
    <t>인터뷰 계획 수립</t>
    <phoneticPr fontId="2" type="noConversion"/>
  </si>
  <si>
    <t>인터뷰 수행 및 결과 정리</t>
    <phoneticPr fontId="2" type="noConversion"/>
  </si>
  <si>
    <t>인터뷰 회의록</t>
    <phoneticPr fontId="2" type="noConversion"/>
  </si>
  <si>
    <t>벤치마킹 보고서</t>
    <phoneticPr fontId="2" type="noConversion"/>
  </si>
  <si>
    <t>To-Be 프로세스 정의서</t>
    <phoneticPr fontId="2" type="noConversion"/>
  </si>
  <si>
    <t>△</t>
    <phoneticPr fontId="2" type="noConversion"/>
  </si>
  <si>
    <t>데이터 플랫폼 요건 정의</t>
    <phoneticPr fontId="2" type="noConversion"/>
  </si>
  <si>
    <t>전사 데이터 수집/운영/저장/관리 전략 수립</t>
    <phoneticPr fontId="2" type="noConversion"/>
  </si>
  <si>
    <t>Holiday</t>
    <phoneticPr fontId="2" type="noConversion"/>
  </si>
  <si>
    <t>추석</t>
    <phoneticPr fontId="2" type="noConversion"/>
  </si>
  <si>
    <t>한글날</t>
    <phoneticPr fontId="2" type="noConversion"/>
  </si>
  <si>
    <t>D-CUBE PI Master Plan 수립 WBS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</si>
  <si>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</si>
  <si>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</si>
  <si>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</si>
  <si>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</si>
  <si>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</si>
  <si>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</si>
  <si>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</si>
  <si>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</si>
  <si>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</si>
  <si>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</si>
  <si>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</si>
  <si>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</si>
  <si>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</si>
  <si>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</si>
  <si>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10월</t>
    <phoneticPr fontId="2" type="noConversion"/>
  </si>
  <si>
    <t>11월</t>
    <phoneticPr fontId="2" type="noConversion"/>
  </si>
  <si>
    <t>12월</t>
    <phoneticPr fontId="2" type="noConversion"/>
  </si>
  <si>
    <t>제헌절</t>
    <phoneticPr fontId="2" type="noConversion"/>
  </si>
  <si>
    <t>광복절 대체</t>
    <phoneticPr fontId="2" type="noConversion"/>
  </si>
  <si>
    <t>개천절 대체</t>
    <phoneticPr fontId="2" type="noConversion"/>
  </si>
  <si>
    <t>성탄절</t>
    <phoneticPr fontId="2" type="noConversion"/>
  </si>
  <si>
    <t>1. 프로젝트 준비 및 착수</t>
    <phoneticPr fontId="2" type="noConversion"/>
  </si>
  <si>
    <t>1-1. 추진 조직 및 거버넌스 정립</t>
  </si>
  <si>
    <t>TFT R&amp;R 확정</t>
    <phoneticPr fontId="2" type="noConversion"/>
  </si>
  <si>
    <t>의사결정 협의체(Steering Committee) 구성 및 운영 기준 수립</t>
    <phoneticPr fontId="2" type="noConversion"/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</si>
  <si>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</si>
  <si>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</si>
  <si>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</si>
  <si>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</si>
  <si>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</si>
  <si>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</si>
  <si>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</si>
  <si>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</si>
  <si>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</si>
  <si>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</si>
  <si>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</si>
  <si>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</si>
  <si>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W25</t>
  </si>
  <si>
    <t>W26</t>
  </si>
  <si>
    <t>W27</t>
  </si>
  <si>
    <t>마스터 플랜 수립 단계의 세부 일정 및 마일스톤 확정</t>
  </si>
  <si>
    <t>WBS, 위험 관리, 변경 관리 등 프로젝트 관리 프로세스 정의</t>
  </si>
  <si>
    <t>1-2. 프로젝트 수행 계획 수립</t>
    <phoneticPr fontId="2" type="noConversion"/>
  </si>
  <si>
    <t>프로젝트 수행 계획 수립 워크샵</t>
    <phoneticPr fontId="2" type="noConversion"/>
  </si>
  <si>
    <t>2-1. 비즈니스 프로세스 진단/분석 (Value Chain별)</t>
  </si>
  <si>
    <t>2-2. 현업 인터뷰 및 요구사항 수집</t>
  </si>
  <si>
    <t>기존 PI 산출물 검토(인터뷰, 공청회, 진단)</t>
    <phoneticPr fontId="2" type="noConversion"/>
  </si>
  <si>
    <t>문제점(Pain Point) 진단 및 도출</t>
    <phoneticPr fontId="2" type="noConversion"/>
  </si>
  <si>
    <t>현황 데이터 수집 및 정량 분석</t>
    <phoneticPr fontId="2" type="noConversion"/>
  </si>
  <si>
    <t>2-3. Issue 및 개선 방향 정의</t>
    <phoneticPr fontId="2" type="noConversion"/>
  </si>
  <si>
    <t>2-4. IT 인프라 및 시스템 분석</t>
    <phoneticPr fontId="2" type="noConversion"/>
  </si>
  <si>
    <t>Issue 및 개선기회/과제 정의</t>
    <phoneticPr fontId="2" type="noConversion"/>
  </si>
  <si>
    <t>3. To-Be 설계</t>
    <phoneticPr fontId="2" type="noConversion"/>
  </si>
  <si>
    <t>3-1. 혁신 비전 수립 및 전략 검토</t>
    <phoneticPr fontId="2" type="noConversion"/>
  </si>
  <si>
    <t>혁신 비전 및 전략 수립</t>
    <phoneticPr fontId="2" type="noConversion"/>
  </si>
  <si>
    <t>혁신 우수사례 벤치마킹</t>
    <phoneticPr fontId="2" type="noConversion"/>
  </si>
  <si>
    <t>3-2. 과제별 To-Be 프로세스 설계</t>
    <phoneticPr fontId="2" type="noConversion"/>
  </si>
  <si>
    <t>기준정보 정의</t>
    <phoneticPr fontId="2" type="noConversion"/>
  </si>
  <si>
    <t>프로세스 정의</t>
    <phoneticPr fontId="2" type="noConversion"/>
  </si>
  <si>
    <t>Data 구성 정의</t>
    <phoneticPr fontId="2" type="noConversion"/>
  </si>
  <si>
    <t>상세기능 정의</t>
    <phoneticPr fontId="2" type="noConversion"/>
  </si>
  <si>
    <t>영역별 역할 및 전체 Data Flow 정의</t>
    <phoneticPr fontId="2" type="noConversion"/>
  </si>
  <si>
    <t>2-5. 중간보고</t>
    <phoneticPr fontId="2" type="noConversion"/>
  </si>
  <si>
    <t>2. As-Is 분석</t>
    <phoneticPr fontId="2" type="noConversion"/>
  </si>
  <si>
    <t>1-3. 프로젝트 착수 보고회(Kick-off)</t>
    <phoneticPr fontId="2" type="noConversion"/>
  </si>
  <si>
    <t>ERP 부분 요건</t>
  </si>
  <si>
    <t>핵심 시나리오 기반 솔루션 데모(BMT) 수행 및 최종 솔루션 선정</t>
  </si>
  <si>
    <t>RFP 발송 및 제안서 접수</t>
    <phoneticPr fontId="2" type="noConversion"/>
  </si>
  <si>
    <t>1차 서류 평가</t>
    <phoneticPr fontId="2" type="noConversion"/>
  </si>
  <si>
    <t>GAP 및 이슈사항 방안 수립</t>
  </si>
  <si>
    <t>3-3. To-Be 시스템 구성방안 수립</t>
    <phoneticPr fontId="2" type="noConversion"/>
  </si>
  <si>
    <t>마스터 데이터 통합 관리 방안 수립</t>
    <phoneticPr fontId="2" type="noConversion"/>
  </si>
  <si>
    <t>KEY DATA 정의 및 리스트</t>
    <phoneticPr fontId="2" type="noConversion"/>
  </si>
  <si>
    <t>자재코드 체계 정의</t>
    <phoneticPr fontId="2" type="noConversion"/>
  </si>
  <si>
    <t>Data 거버넌스 체계 수립</t>
    <phoneticPr fontId="2" type="noConversion"/>
  </si>
  <si>
    <t>3-4.데이터 플랫폼 요건 정의</t>
    <phoneticPr fontId="2" type="noConversion"/>
  </si>
  <si>
    <t>과제 우선순위 평가</t>
  </si>
  <si>
    <t>단계 로드맵 및 추진일정 수립</t>
  </si>
  <si>
    <t>구축단계 변화관리 계획 수립</t>
  </si>
  <si>
    <t>ERP(SAP S/4HANA) 구축/운용비용 산정</t>
  </si>
  <si>
    <t>Non-ERP 구축/운용비용 추정</t>
  </si>
  <si>
    <t>시스템 구축 및 운용에 대한 경제성 분석 (TCO, ROI 관점)</t>
  </si>
  <si>
    <t>MES</t>
    <phoneticPr fontId="2" type="noConversion"/>
  </si>
  <si>
    <t>중간보고서</t>
    <phoneticPr fontId="2" type="noConversion"/>
  </si>
  <si>
    <t>업무분장표</t>
    <phoneticPr fontId="2" type="noConversion"/>
  </si>
  <si>
    <t>WBS</t>
    <phoneticPr fontId="2" type="noConversion"/>
  </si>
  <si>
    <t>To-Be 기준정보 정의서</t>
    <phoneticPr fontId="2" type="noConversion"/>
  </si>
  <si>
    <t>본 프로젝트 계획 보고서</t>
    <phoneticPr fontId="2" type="noConversion"/>
  </si>
  <si>
    <t>과제정의서</t>
  </si>
  <si>
    <t>To-Be Data 구성 정의서</t>
    <phoneticPr fontId="2" type="noConversion"/>
  </si>
  <si>
    <t>To-Be 상세기능 정의서</t>
    <phoneticPr fontId="2" type="noConversion"/>
  </si>
  <si>
    <t>To-Be I/F 정의서</t>
    <phoneticPr fontId="2" type="noConversion"/>
  </si>
  <si>
    <t>기능 요건 정의서(RFP)</t>
    <phoneticPr fontId="2" type="noConversion"/>
  </si>
  <si>
    <t>AS-IS 프로세스 목록/맵</t>
    <phoneticPr fontId="2" type="noConversion"/>
  </si>
  <si>
    <t>●</t>
  </si>
  <si>
    <t>BI Tool 교육</t>
    <phoneticPr fontId="2" type="noConversion"/>
  </si>
  <si>
    <t>4. 이행 로드맵 및 통합 마스터 플랜 수립</t>
    <phoneticPr fontId="2" type="noConversion"/>
  </si>
  <si>
    <t>4-1. 구축 단계별 이행 시나리오 수립</t>
    <phoneticPr fontId="2" type="noConversion"/>
  </si>
  <si>
    <t>4-2. 소요 예산(TCO) 및 투자 효과(ROI) 분석</t>
    <phoneticPr fontId="2" type="noConversion"/>
  </si>
  <si>
    <t>4-3. 마스터 플랜 수립 보고</t>
    <phoneticPr fontId="2" type="noConversion"/>
  </si>
  <si>
    <t>3-5. 데이터 표준화 관리방안 수립</t>
    <phoneticPr fontId="2" type="noConversion"/>
  </si>
  <si>
    <t>5. 솔루션 기능 요건(RFP) 정의 및 벤더 평가</t>
    <phoneticPr fontId="2" type="noConversion"/>
  </si>
  <si>
    <t>5-1. 시스템별 기능 요건 정의서(RFP) 작성</t>
    <phoneticPr fontId="2" type="noConversion"/>
  </si>
  <si>
    <t>5-2. 솔루션 제안 요청 및 평가</t>
    <phoneticPr fontId="2" type="noConversion"/>
  </si>
  <si>
    <t>가공</t>
    <phoneticPr fontId="2" type="noConversion"/>
  </si>
  <si>
    <t xml:space="preserve">Satellite 시스템 현황 취합 (사용 유무,I/F) </t>
    <phoneticPr fontId="2" type="noConversion"/>
  </si>
  <si>
    <t>신규 개발 대상 리스트 취합</t>
  </si>
  <si>
    <t>Satellite 시스템 연계 방안 수립</t>
  </si>
  <si>
    <t>CBO 개발 프로그램 삭제 대상 분류/처리</t>
    <phoneticPr fontId="2" type="noConversion"/>
  </si>
  <si>
    <t>CBO 개발 프로그램 사용 현황 분석 (사용 유무)</t>
    <phoneticPr fontId="2" type="noConversion"/>
  </si>
  <si>
    <t>MES/가공 개발 프로그램 사용 현황 분석</t>
    <phoneticPr fontId="2" type="noConversion"/>
  </si>
  <si>
    <t>ERP/MES/가공 시스템 구성 방안 수립</t>
    <phoneticPr fontId="2" type="noConversion"/>
  </si>
  <si>
    <t>MES(APS)/가공 부분 요건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</si>
</sst>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%"/>
    <numFmt numFmtId="177" formatCode="mm\/dd"/>
    <numFmt numFmtId="178" formatCode="0_);[Red]\(0\)"/>
    <numFmt numFmtId="179" formatCode="m&quot;/&quot;d;@"/>
  </numFmts>
  <fonts count="18">
    <font>
      <sz val="10"/>
      <color theme="1"/>
      <name val="윤고딕130"/>
      <family val="2"/>
      <charset val="129"/>
    </font>
    <font>
      <sz val="10"/>
      <color theme="1"/>
      <name val="윤고딕130"/>
      <family val="2"/>
      <charset val="129"/>
    </font>
    <font>
      <sz val="8"/>
      <name val="윤고딕130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i/>
      <sz val="9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color indexed="63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 style="dashed">
        <color theme="0" tint="-0.24994659260841701"/>
      </left>
      <right/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55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theme="0" tint="-0.24994659260841701"/>
      </left>
      <right style="thin">
        <color indexed="64"/>
      </right>
      <top/>
      <bottom style="dotted">
        <color theme="0" tint="-0.24994659260841701"/>
      </bottom>
      <diagonal/>
    </border>
    <border>
      <left/>
      <right style="dashed">
        <color theme="0" tint="-0.24994659260841701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indexed="64"/>
      </right>
      <top/>
      <bottom style="hair">
        <color theme="1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/>
      <top style="dashed">
        <color theme="0" tint="-0.24994659260841701"/>
      </top>
      <bottom style="thin">
        <color indexed="64"/>
      </bottom>
      <diagonal/>
    </border>
    <border>
      <left style="dashed">
        <color theme="0" tint="-0.24994659260841701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indexed="64"/>
      </bottom>
      <diagonal/>
    </border>
    <border>
      <left style="hair">
        <color theme="1" tint="0.499984740745262"/>
      </left>
      <right style="thin">
        <color indexed="64"/>
      </right>
      <top/>
      <bottom style="thin">
        <color indexed="64"/>
      </bottom>
      <diagonal/>
    </border>
    <border>
      <left style="dotted">
        <color theme="0" tint="-0.24994659260841701"/>
      </left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 style="dashed">
        <color theme="0" tint="-0.24994659260841701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/>
      <bottom style="dashed">
        <color theme="0" tint="-0.24994659260841701"/>
      </bottom>
      <diagonal/>
    </border>
    <border>
      <left style="dashed">
        <color theme="0" tint="-0.24994659260841701"/>
      </left>
      <right/>
      <top/>
      <bottom style="dashed">
        <color theme="0" tint="-0.24994659260841701"/>
      </bottom>
      <diagonal/>
    </border>
    <border>
      <left style="dash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dashed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dashed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dotted">
        <color theme="0" tint="-0.24994659260841701"/>
      </right>
      <top style="dotted">
        <color theme="0" tint="-0.24994659260841701"/>
      </top>
      <bottom style="dashed">
        <color theme="0" tint="-0.24994659260841701"/>
      </bottom>
      <diagonal/>
    </border>
    <border>
      <left style="dotted">
        <color theme="0" tint="-0.24994659260841701"/>
      </left>
      <right style="thin">
        <color indexed="64"/>
      </right>
      <top/>
      <bottom style="dashed">
        <color theme="0" tint="-0.24994659260841701"/>
      </bottom>
      <diagonal/>
    </border>
    <border>
      <left style="thin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0" tint="-0.24994659260841701"/>
      </bottom>
      <diagonal/>
    </border>
    <border>
      <left style="hair">
        <color theme="1" tint="0.499984740745262"/>
      </left>
      <right style="thin">
        <color indexed="64"/>
      </right>
      <top style="hair">
        <color theme="1" tint="0.499984740745262"/>
      </top>
      <bottom style="hair">
        <color theme="0" tint="-0.24994659260841701"/>
      </bottom>
      <diagonal/>
    </border>
    <border>
      <left/>
      <right style="dashed">
        <color theme="0" tint="-0.24994659260841701"/>
      </right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</cellStyleXfs>
  <cellXfs count="139">
    <xf numFmtId="0" fontId="0" fillId="0" borderId="0" xfId="0">
      <alignment vertical="center"/>
    </xf>
    <xf numFmtId="178" fontId="5" fillId="2" borderId="0" xfId="0" applyNumberFormat="1" applyFont="1" applyFill="1">
      <alignment vertical="center"/>
    </xf>
    <xf numFmtId="0" fontId="5" fillId="2" borderId="0" xfId="0" applyFont="1" applyFill="1">
      <alignment vertical="center"/>
    </xf>
    <xf numFmtId="0" fontId="5" fillId="2" borderId="9" xfId="0" applyFont="1" applyFill="1" applyBorder="1">
      <alignment vertical="center"/>
    </xf>
    <xf numFmtId="0" fontId="7" fillId="2" borderId="0" xfId="0" applyFont="1" applyFill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176" fontId="5" fillId="0" borderId="0" xfId="0" applyNumberFormat="1" applyFont="1">
      <alignment vertical="center"/>
    </xf>
    <xf numFmtId="0" fontId="9" fillId="6" borderId="4" xfId="0" applyFont="1" applyFill="1" applyBorder="1" applyAlignment="1">
      <alignment horizontal="center" vertical="center" textRotation="90"/>
    </xf>
    <xf numFmtId="0" fontId="9" fillId="6" borderId="10" xfId="0" applyFont="1" applyFill="1" applyBorder="1" applyAlignment="1">
      <alignment horizontal="center" vertical="center" textRotation="90"/>
    </xf>
    <xf numFmtId="179" fontId="5" fillId="0" borderId="0" xfId="0" applyNumberFormat="1" applyFont="1" applyAlignment="1">
      <alignment horizontal="center" vertical="center"/>
    </xf>
    <xf numFmtId="176" fontId="5" fillId="0" borderId="0" xfId="1" applyNumberFormat="1" applyFont="1" applyAlignment="1">
      <alignment vertical="center"/>
    </xf>
    <xf numFmtId="179" fontId="12" fillId="0" borderId="0" xfId="0" applyNumberFormat="1" applyFont="1" applyAlignment="1">
      <alignment horizontal="center" vertical="center"/>
    </xf>
    <xf numFmtId="176" fontId="11" fillId="7" borderId="6" xfId="1" applyNumberFormat="1" applyFont="1" applyFill="1" applyBorder="1" applyAlignment="1">
      <alignment vertical="center"/>
    </xf>
    <xf numFmtId="176" fontId="11" fillId="2" borderId="6" xfId="1" applyNumberFormat="1" applyFont="1" applyFill="1" applyBorder="1" applyAlignment="1">
      <alignment vertical="center"/>
    </xf>
    <xf numFmtId="176" fontId="11" fillId="8" borderId="6" xfId="1" applyNumberFormat="1" applyFont="1" applyFill="1" applyBorder="1" applyAlignment="1">
      <alignment vertical="center"/>
    </xf>
    <xf numFmtId="0" fontId="14" fillId="0" borderId="0" xfId="0" applyFont="1">
      <alignment vertical="center"/>
    </xf>
    <xf numFmtId="14" fontId="14" fillId="0" borderId="0" xfId="0" applyNumberFormat="1" applyFont="1">
      <alignment vertical="center"/>
    </xf>
    <xf numFmtId="14" fontId="14" fillId="8" borderId="0" xfId="0" applyNumberFormat="1" applyFont="1" applyFill="1">
      <alignment vertical="center"/>
    </xf>
    <xf numFmtId="0" fontId="14" fillId="8" borderId="0" xfId="0" applyFont="1" applyFill="1">
      <alignment vertical="center"/>
    </xf>
    <xf numFmtId="0" fontId="16" fillId="9" borderId="13" xfId="2" applyFont="1" applyFill="1" applyBorder="1" applyAlignment="1">
      <alignment vertical="center"/>
    </xf>
    <xf numFmtId="0" fontId="15" fillId="9" borderId="13" xfId="2" applyFont="1" applyFill="1" applyBorder="1" applyAlignment="1">
      <alignment vertical="center"/>
    </xf>
    <xf numFmtId="0" fontId="15" fillId="9" borderId="14" xfId="2" applyFont="1" applyFill="1" applyBorder="1" applyAlignment="1">
      <alignment vertical="center"/>
    </xf>
    <xf numFmtId="0" fontId="15" fillId="9" borderId="12" xfId="2" applyFont="1" applyFill="1" applyBorder="1" applyAlignment="1">
      <alignment vertical="center"/>
    </xf>
    <xf numFmtId="176" fontId="11" fillId="7" borderId="20" xfId="1" applyNumberFormat="1" applyFont="1" applyFill="1" applyBorder="1" applyAlignment="1">
      <alignment vertical="center"/>
    </xf>
    <xf numFmtId="176" fontId="11" fillId="5" borderId="1" xfId="1" applyNumberFormat="1" applyFont="1" applyFill="1" applyBorder="1" applyAlignment="1">
      <alignment vertical="center"/>
    </xf>
    <xf numFmtId="0" fontId="5" fillId="0" borderId="17" xfId="0" applyFont="1" applyBorder="1">
      <alignment vertical="center"/>
    </xf>
    <xf numFmtId="0" fontId="6" fillId="5" borderId="7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7" fillId="5" borderId="7" xfId="0" applyFont="1" applyFill="1" applyBorder="1">
      <alignment vertical="center"/>
    </xf>
    <xf numFmtId="0" fontId="7" fillId="5" borderId="11" xfId="0" applyFont="1" applyFill="1" applyBorder="1">
      <alignment vertical="center"/>
    </xf>
    <xf numFmtId="0" fontId="5" fillId="5" borderId="8" xfId="0" applyFont="1" applyFill="1" applyBorder="1">
      <alignment vertical="center"/>
    </xf>
    <xf numFmtId="179" fontId="7" fillId="5" borderId="15" xfId="2" applyNumberFormat="1" applyFont="1" applyFill="1" applyBorder="1" applyAlignment="1">
      <alignment horizontal="center" vertical="center"/>
    </xf>
    <xf numFmtId="179" fontId="7" fillId="5" borderId="16" xfId="2" applyNumberFormat="1" applyFont="1" applyFill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7" borderId="7" xfId="0" applyFont="1" applyFill="1" applyBorder="1">
      <alignment vertical="center"/>
    </xf>
    <xf numFmtId="0" fontId="7" fillId="7" borderId="7" xfId="0" applyFont="1" applyFill="1" applyBorder="1">
      <alignment vertical="center"/>
    </xf>
    <xf numFmtId="0" fontId="7" fillId="7" borderId="11" xfId="0" applyFont="1" applyFill="1" applyBorder="1">
      <alignment vertical="center"/>
    </xf>
    <xf numFmtId="0" fontId="5" fillId="7" borderId="8" xfId="0" applyFont="1" applyFill="1" applyBorder="1">
      <alignment vertical="center"/>
    </xf>
    <xf numFmtId="179" fontId="7" fillId="7" borderId="15" xfId="2" applyNumberFormat="1" applyFont="1" applyFill="1" applyBorder="1" applyAlignment="1">
      <alignment horizontal="center" vertical="center"/>
    </xf>
    <xf numFmtId="179" fontId="7" fillId="7" borderId="19" xfId="2" applyNumberFormat="1" applyFont="1" applyFill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11" xfId="0" applyFont="1" applyBorder="1">
      <alignment vertical="center"/>
    </xf>
    <xf numFmtId="0" fontId="5" fillId="0" borderId="8" xfId="0" applyFont="1" applyBorder="1">
      <alignment vertical="center"/>
    </xf>
    <xf numFmtId="179" fontId="7" fillId="2" borderId="16" xfId="2" applyNumberFormat="1" applyFont="1" applyFill="1" applyBorder="1" applyAlignment="1">
      <alignment horizontal="center" vertical="center"/>
    </xf>
    <xf numFmtId="179" fontId="7" fillId="7" borderId="16" xfId="2" applyNumberFormat="1" applyFont="1" applyFill="1" applyBorder="1" applyAlignment="1">
      <alignment horizontal="center" vertical="center"/>
    </xf>
    <xf numFmtId="179" fontId="7" fillId="0" borderId="15" xfId="2" applyNumberFormat="1" applyFont="1" applyBorder="1" applyAlignment="1">
      <alignment horizontal="center" vertical="center"/>
    </xf>
    <xf numFmtId="179" fontId="7" fillId="0" borderId="16" xfId="2" applyNumberFormat="1" applyFont="1" applyBorder="1" applyAlignment="1">
      <alignment horizontal="center" vertical="center"/>
    </xf>
    <xf numFmtId="176" fontId="11" fillId="2" borderId="20" xfId="1" applyNumberFormat="1" applyFont="1" applyFill="1" applyBorder="1" applyAlignment="1">
      <alignment vertical="center"/>
    </xf>
    <xf numFmtId="176" fontId="11" fillId="8" borderId="20" xfId="1" applyNumberFormat="1" applyFont="1" applyFill="1" applyBorder="1" applyAlignment="1">
      <alignment vertical="center"/>
    </xf>
    <xf numFmtId="179" fontId="10" fillId="6" borderId="1" xfId="2" applyNumberFormat="1" applyFont="1" applyFill="1" applyBorder="1" applyAlignment="1">
      <alignment horizontal="center" vertical="center"/>
    </xf>
    <xf numFmtId="14" fontId="8" fillId="2" borderId="21" xfId="0" applyNumberFormat="1" applyFont="1" applyFill="1" applyBorder="1">
      <alignment vertical="center"/>
    </xf>
    <xf numFmtId="14" fontId="8" fillId="2" borderId="22" xfId="0" applyNumberFormat="1" applyFont="1" applyFill="1" applyBorder="1">
      <alignment vertical="center"/>
    </xf>
    <xf numFmtId="14" fontId="8" fillId="2" borderId="23" xfId="0" applyNumberFormat="1" applyFont="1" applyFill="1" applyBorder="1">
      <alignment vertical="center"/>
    </xf>
    <xf numFmtId="179" fontId="10" fillId="6" borderId="1" xfId="0" applyNumberFormat="1" applyFont="1" applyFill="1" applyBorder="1">
      <alignment vertical="center"/>
    </xf>
    <xf numFmtId="179" fontId="11" fillId="5" borderId="30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vertical="center"/>
    </xf>
    <xf numFmtId="0" fontId="17" fillId="7" borderId="7" xfId="0" applyFont="1" applyFill="1" applyBorder="1">
      <alignment vertical="center"/>
    </xf>
    <xf numFmtId="179" fontId="11" fillId="5" borderId="33" xfId="2" applyNumberFormat="1" applyFont="1" applyFill="1" applyBorder="1" applyAlignment="1">
      <alignment horizontal="center" vertical="center"/>
    </xf>
    <xf numFmtId="179" fontId="11" fillId="7" borderId="34" xfId="2" applyNumberFormat="1" applyFont="1" applyFill="1" applyBorder="1" applyAlignment="1">
      <alignment horizontal="center" vertical="center"/>
    </xf>
    <xf numFmtId="179" fontId="11" fillId="0" borderId="34" xfId="2" applyNumberFormat="1" applyFont="1" applyBorder="1" applyAlignment="1">
      <alignment horizontal="center" vertical="center"/>
    </xf>
    <xf numFmtId="0" fontId="5" fillId="0" borderId="36" xfId="0" applyFont="1" applyBorder="1">
      <alignment vertical="center"/>
    </xf>
    <xf numFmtId="0" fontId="5" fillId="0" borderId="37" xfId="0" applyFont="1" applyBorder="1">
      <alignment vertical="center"/>
    </xf>
    <xf numFmtId="0" fontId="5" fillId="2" borderId="7" xfId="0" applyFont="1" applyFill="1" applyBorder="1">
      <alignment vertical="center"/>
    </xf>
    <xf numFmtId="179" fontId="11" fillId="5" borderId="41" xfId="2" applyNumberFormat="1" applyFont="1" applyFill="1" applyBorder="1" applyAlignment="1">
      <alignment horizontal="center" vertical="center"/>
    </xf>
    <xf numFmtId="179" fontId="11" fillId="5" borderId="42" xfId="2" applyNumberFormat="1" applyFont="1" applyFill="1" applyBorder="1" applyAlignment="1">
      <alignment horizontal="center" vertical="center"/>
    </xf>
    <xf numFmtId="179" fontId="11" fillId="5" borderId="35" xfId="2" applyNumberFormat="1" applyFont="1" applyFill="1" applyBorder="1" applyAlignment="1">
      <alignment horizontal="center" vertical="center"/>
    </xf>
    <xf numFmtId="179" fontId="11" fillId="7" borderId="43" xfId="2" applyNumberFormat="1" applyFont="1" applyFill="1" applyBorder="1" applyAlignment="1">
      <alignment horizontal="center" vertical="center"/>
    </xf>
    <xf numFmtId="179" fontId="11" fillId="7" borderId="44" xfId="2" applyNumberFormat="1" applyFont="1" applyFill="1" applyBorder="1" applyAlignment="1">
      <alignment horizontal="center" vertical="center"/>
    </xf>
    <xf numFmtId="179" fontId="11" fillId="7" borderId="30" xfId="2" applyNumberFormat="1" applyFont="1" applyFill="1" applyBorder="1" applyAlignment="1">
      <alignment horizontal="center" vertical="center"/>
    </xf>
    <xf numFmtId="176" fontId="11" fillId="7" borderId="30" xfId="1" applyNumberFormat="1" applyFont="1" applyFill="1" applyBorder="1" applyAlignment="1">
      <alignment vertical="center"/>
    </xf>
    <xf numFmtId="179" fontId="11" fillId="0" borderId="43" xfId="2" applyNumberFormat="1" applyFont="1" applyBorder="1" applyAlignment="1">
      <alignment horizontal="center" vertical="center"/>
    </xf>
    <xf numFmtId="179" fontId="11" fillId="0" borderId="44" xfId="2" applyNumberFormat="1" applyFont="1" applyBorder="1" applyAlignment="1">
      <alignment horizontal="center" vertical="center"/>
    </xf>
    <xf numFmtId="179" fontId="11" fillId="0" borderId="30" xfId="2" applyNumberFormat="1" applyFont="1" applyBorder="1" applyAlignment="1">
      <alignment horizontal="center" vertical="center"/>
    </xf>
    <xf numFmtId="176" fontId="11" fillId="2" borderId="30" xfId="1" applyNumberFormat="1" applyFont="1" applyFill="1" applyBorder="1" applyAlignment="1">
      <alignment vertical="center"/>
    </xf>
    <xf numFmtId="179" fontId="11" fillId="5" borderId="34" xfId="2" applyNumberFormat="1" applyFont="1" applyFill="1" applyBorder="1" applyAlignment="1">
      <alignment horizontal="center" vertical="center"/>
    </xf>
    <xf numFmtId="179" fontId="11" fillId="5" borderId="43" xfId="2" applyNumberFormat="1" applyFont="1" applyFill="1" applyBorder="1" applyAlignment="1">
      <alignment horizontal="center" vertical="center"/>
    </xf>
    <xf numFmtId="179" fontId="11" fillId="5" borderId="44" xfId="2" applyNumberFormat="1" applyFont="1" applyFill="1" applyBorder="1" applyAlignment="1">
      <alignment horizontal="center" vertical="center"/>
    </xf>
    <xf numFmtId="14" fontId="8" fillId="2" borderId="48" xfId="0" applyNumberFormat="1" applyFont="1" applyFill="1" applyBorder="1">
      <alignment vertical="center"/>
    </xf>
    <xf numFmtId="14" fontId="8" fillId="2" borderId="49" xfId="0" applyNumberFormat="1" applyFont="1" applyFill="1" applyBorder="1">
      <alignment vertical="center"/>
    </xf>
    <xf numFmtId="14" fontId="8" fillId="2" borderId="50" xfId="0" applyNumberFormat="1" applyFont="1" applyFill="1" applyBorder="1">
      <alignment vertical="center"/>
    </xf>
    <xf numFmtId="0" fontId="7" fillId="0" borderId="37" xfId="0" applyFont="1" applyBorder="1">
      <alignment vertical="center"/>
    </xf>
    <xf numFmtId="0" fontId="7" fillId="0" borderId="38" xfId="0" applyFont="1" applyBorder="1">
      <alignment vertical="center"/>
    </xf>
    <xf numFmtId="0" fontId="5" fillId="0" borderId="39" xfId="0" applyFont="1" applyBorder="1">
      <alignment vertical="center"/>
    </xf>
    <xf numFmtId="179" fontId="11" fillId="0" borderId="45" xfId="2" applyNumberFormat="1" applyFont="1" applyBorder="1" applyAlignment="1">
      <alignment horizontal="center" vertical="center"/>
    </xf>
    <xf numFmtId="179" fontId="11" fillId="0" borderId="46" xfId="2" applyNumberFormat="1" applyFont="1" applyBorder="1" applyAlignment="1">
      <alignment horizontal="center" vertical="center"/>
    </xf>
    <xf numFmtId="179" fontId="11" fillId="0" borderId="47" xfId="2" applyNumberFormat="1" applyFont="1" applyBorder="1" applyAlignment="1">
      <alignment horizontal="center" vertical="center"/>
    </xf>
    <xf numFmtId="176" fontId="11" fillId="2" borderId="47" xfId="1" applyNumberFormat="1" applyFont="1" applyFill="1" applyBorder="1" applyAlignment="1">
      <alignment vertical="center"/>
    </xf>
    <xf numFmtId="179" fontId="7" fillId="0" borderId="40" xfId="2" applyNumberFormat="1" applyFont="1" applyBorder="1" applyAlignment="1">
      <alignment horizontal="center" vertical="center"/>
    </xf>
    <xf numFmtId="179" fontId="7" fillId="2" borderId="51" xfId="2" applyNumberFormat="1" applyFont="1" applyFill="1" applyBorder="1" applyAlignment="1">
      <alignment horizontal="center" vertical="center"/>
    </xf>
    <xf numFmtId="176" fontId="11" fillId="2" borderId="52" xfId="1" applyNumberFormat="1" applyFont="1" applyFill="1" applyBorder="1" applyAlignment="1">
      <alignment vertical="center"/>
    </xf>
    <xf numFmtId="176" fontId="11" fillId="8" borderId="52" xfId="1" applyNumberFormat="1" applyFont="1" applyFill="1" applyBorder="1" applyAlignment="1">
      <alignment vertical="center"/>
    </xf>
    <xf numFmtId="0" fontId="5" fillId="0" borderId="53" xfId="0" applyFont="1" applyBorder="1">
      <alignment vertical="center"/>
    </xf>
    <xf numFmtId="0" fontId="6" fillId="5" borderId="54" xfId="0" applyFont="1" applyFill="1" applyBorder="1">
      <alignment vertical="center"/>
    </xf>
    <xf numFmtId="0" fontId="5" fillId="5" borderId="54" xfId="0" applyFont="1" applyFill="1" applyBorder="1">
      <alignment vertical="center"/>
    </xf>
    <xf numFmtId="0" fontId="7" fillId="5" borderId="54" xfId="0" applyFont="1" applyFill="1" applyBorder="1">
      <alignment vertical="center"/>
    </xf>
    <xf numFmtId="0" fontId="7" fillId="5" borderId="55" xfId="0" applyFont="1" applyFill="1" applyBorder="1">
      <alignment vertical="center"/>
    </xf>
    <xf numFmtId="0" fontId="5" fillId="5" borderId="56" xfId="0" applyFont="1" applyFill="1" applyBorder="1">
      <alignment vertical="center"/>
    </xf>
    <xf numFmtId="179" fontId="11" fillId="5" borderId="57" xfId="2" applyNumberFormat="1" applyFont="1" applyFill="1" applyBorder="1" applyAlignment="1">
      <alignment horizontal="center" vertical="center"/>
    </xf>
    <xf numFmtId="179" fontId="11" fillId="5" borderId="58" xfId="2" applyNumberFormat="1" applyFont="1" applyFill="1" applyBorder="1" applyAlignment="1">
      <alignment horizontal="center" vertical="center"/>
    </xf>
    <xf numFmtId="179" fontId="11" fillId="5" borderId="59" xfId="2" applyNumberFormat="1" applyFont="1" applyFill="1" applyBorder="1" applyAlignment="1">
      <alignment horizontal="center" vertical="center"/>
    </xf>
    <xf numFmtId="179" fontId="11" fillId="5" borderId="60" xfId="2" applyNumberFormat="1" applyFont="1" applyFill="1" applyBorder="1" applyAlignment="1">
      <alignment horizontal="center" vertical="center"/>
    </xf>
    <xf numFmtId="179" fontId="7" fillId="5" borderId="61" xfId="2" applyNumberFormat="1" applyFont="1" applyFill="1" applyBorder="1" applyAlignment="1">
      <alignment horizontal="center" vertical="center"/>
    </xf>
    <xf numFmtId="179" fontId="7" fillId="5" borderId="19" xfId="2" applyNumberFormat="1" applyFont="1" applyFill="1" applyBorder="1" applyAlignment="1">
      <alignment horizontal="center" vertical="center"/>
    </xf>
    <xf numFmtId="179" fontId="7" fillId="7" borderId="62" xfId="2" applyNumberFormat="1" applyFont="1" applyFill="1" applyBorder="1" applyAlignment="1">
      <alignment horizontal="center" vertical="center"/>
    </xf>
    <xf numFmtId="179" fontId="7" fillId="7" borderId="63" xfId="2" applyNumberFormat="1" applyFont="1" applyFill="1" applyBorder="1" applyAlignment="1">
      <alignment horizontal="center" vertical="center"/>
    </xf>
    <xf numFmtId="14" fontId="8" fillId="2" borderId="64" xfId="0" applyNumberFormat="1" applyFont="1" applyFill="1" applyBorder="1">
      <alignment vertical="center"/>
    </xf>
    <xf numFmtId="14" fontId="8" fillId="2" borderId="65" xfId="0" applyNumberFormat="1" applyFont="1" applyFill="1" applyBorder="1">
      <alignment vertical="center"/>
    </xf>
    <xf numFmtId="14" fontId="8" fillId="2" borderId="66" xfId="0" applyNumberFormat="1" applyFont="1" applyFill="1" applyBorder="1">
      <alignment vertical="center"/>
    </xf>
    <xf numFmtId="176" fontId="11" fillId="7" borderId="67" xfId="1" applyNumberFormat="1" applyFont="1" applyFill="1" applyBorder="1" applyAlignment="1">
      <alignment vertical="center"/>
    </xf>
    <xf numFmtId="179" fontId="7" fillId="8" borderId="15" xfId="2" applyNumberFormat="1" applyFont="1" applyFill="1" applyBorder="1" applyAlignment="1">
      <alignment horizontal="center" vertical="center"/>
    </xf>
    <xf numFmtId="179" fontId="7" fillId="8" borderId="16" xfId="2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77" fontId="13" fillId="4" borderId="1" xfId="0" applyNumberFormat="1" applyFont="1" applyFill="1" applyBorder="1" applyAlignment="1">
      <alignment horizontal="center" vertical="center"/>
    </xf>
    <xf numFmtId="178" fontId="6" fillId="3" borderId="31" xfId="0" quotePrefix="1" applyNumberFormat="1" applyFont="1" applyFill="1" applyBorder="1" applyAlignment="1">
      <alignment horizontal="center" vertical="center"/>
    </xf>
    <xf numFmtId="178" fontId="6" fillId="3" borderId="32" xfId="0" quotePrefix="1" applyNumberFormat="1" applyFont="1" applyFill="1" applyBorder="1" applyAlignment="1">
      <alignment horizontal="center" vertical="center"/>
    </xf>
    <xf numFmtId="178" fontId="6" fillId="3" borderId="2" xfId="0" quotePrefix="1" applyNumberFormat="1" applyFont="1" applyFill="1" applyBorder="1" applyAlignment="1">
      <alignment horizontal="center" vertical="center"/>
    </xf>
    <xf numFmtId="178" fontId="10" fillId="7" borderId="2" xfId="2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18" xfId="0" applyNumberFormat="1" applyFont="1" applyFill="1" applyBorder="1" applyAlignment="1">
      <alignment horizontal="center" vertical="center"/>
    </xf>
    <xf numFmtId="176" fontId="10" fillId="7" borderId="3" xfId="1" applyNumberFormat="1" applyFont="1" applyFill="1" applyBorder="1" applyAlignment="1">
      <alignment horizontal="center" vertical="center"/>
    </xf>
    <xf numFmtId="176" fontId="10" fillId="7" borderId="5" xfId="1" applyNumberFormat="1" applyFont="1" applyFill="1" applyBorder="1" applyAlignment="1">
      <alignment horizontal="center" vertical="center"/>
    </xf>
    <xf numFmtId="176" fontId="10" fillId="7" borderId="3" xfId="0" applyNumberFormat="1" applyFont="1" applyFill="1" applyBorder="1" applyAlignment="1">
      <alignment horizontal="center" vertical="center"/>
    </xf>
    <xf numFmtId="176" fontId="10" fillId="7" borderId="5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vertical="center" textRotation="90"/>
    </xf>
    <xf numFmtId="0" fontId="9" fillId="6" borderId="5" xfId="0" applyFont="1" applyFill="1" applyBorder="1" applyAlignment="1">
      <alignment vertical="center" textRotation="90"/>
    </xf>
    <xf numFmtId="178" fontId="7" fillId="6" borderId="3" xfId="2" applyNumberFormat="1" applyFont="1" applyFill="1" applyBorder="1" applyAlignment="1">
      <alignment horizontal="center" vertical="center"/>
    </xf>
    <xf numFmtId="178" fontId="7" fillId="6" borderId="5" xfId="2" applyNumberFormat="1" applyFont="1" applyFill="1" applyBorder="1" applyAlignment="1">
      <alignment horizontal="center" vertical="center"/>
    </xf>
    <xf numFmtId="179" fontId="10" fillId="6" borderId="4" xfId="2" applyNumberFormat="1" applyFont="1" applyFill="1" applyBorder="1" applyAlignment="1">
      <alignment horizontal="center" vertical="center"/>
    </xf>
    <xf numFmtId="179" fontId="10" fillId="6" borderId="24" xfId="2" applyNumberFormat="1" applyFont="1" applyFill="1" applyBorder="1" applyAlignment="1">
      <alignment horizontal="center" vertical="center"/>
    </xf>
    <xf numFmtId="179" fontId="10" fillId="6" borderId="18" xfId="2" applyNumberFormat="1" applyFont="1" applyFill="1" applyBorder="1" applyAlignment="1">
      <alignment horizontal="center" vertical="center"/>
    </xf>
    <xf numFmtId="179" fontId="10" fillId="6" borderId="25" xfId="2" applyNumberFormat="1" applyFont="1" applyFill="1" applyBorder="1" applyAlignment="1">
      <alignment horizontal="center" vertical="center"/>
    </xf>
    <xf numFmtId="179" fontId="10" fillId="6" borderId="26" xfId="2" applyNumberFormat="1" applyFont="1" applyFill="1" applyBorder="1" applyAlignment="1">
      <alignment horizontal="center" vertical="center"/>
    </xf>
    <xf numFmtId="179" fontId="10" fillId="6" borderId="27" xfId="2" applyNumberFormat="1" applyFont="1" applyFill="1" applyBorder="1" applyAlignment="1">
      <alignment horizontal="center" vertical="center"/>
    </xf>
    <xf numFmtId="179" fontId="10" fillId="6" borderId="29" xfId="2" applyNumberFormat="1" applyFont="1" applyFill="1" applyBorder="1" applyAlignment="1">
      <alignment horizontal="center" vertical="center"/>
    </xf>
    <xf numFmtId="179" fontId="10" fillId="6" borderId="3" xfId="2" applyNumberFormat="1" applyFont="1" applyFill="1" applyBorder="1" applyAlignment="1">
      <alignment horizontal="center" vertical="center"/>
    </xf>
    <xf numFmtId="179" fontId="10" fillId="6" borderId="5" xfId="2" applyNumberFormat="1" applyFont="1" applyFill="1" applyBorder="1" applyAlignment="1">
      <alignment horizontal="center" vertical="center"/>
    </xf>
    <xf numFmtId="179" fontId="10" fillId="6" borderId="28" xfId="2" applyNumberFormat="1" applyFont="1" applyFill="1" applyBorder="1" applyAlignment="1">
      <alignment horizontal="center" vertical="center"/>
    </xf>
    <xf numFmtId="178" fontId="6" fillId="3" borderId="1" xfId="0" quotePrefix="1" applyNumberFormat="1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_Sheet2_HMM PI_WBS_W03_5.벌크_V1.1_100827" xfId="2"/>
  </cellStyles>
  <dxfs count="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colors>
    <mruColors>
      <color rgb="FF0000CC"/>
      <color rgb="FFCC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B72"/>
  <sheetViews>
    <sheetView tabSelected="1" zoomScale="130" zoomScaleNormal="130" workbookViewId="0">
      <pane xSplit="18" ySplit="3" topLeftCell="S13" activePane="bottomRight" state="frozen"/>
      <selection pane="topRight" activeCell="P1" sqref="P1"/>
      <selection pane="bottomLeft" activeCell="A5" sqref="A5"/>
      <selection pane="bottomRight" activeCell="F17" sqref="F17"/>
    </sheetView>
  </sheetViews>
  <sheetFormatPr defaultColWidth="9.140625" defaultRowHeight="12" outlineLevelRow="2" outlineLevelCol="1"/>
  <cols>
    <col min="1" max="3" width="2.28515625" style="5" customWidth="1"/>
    <col min="4" max="4" width="2.28515625" style="6" customWidth="1"/>
    <col min="5" max="5" width="4.28515625" style="6" customWidth="1"/>
    <col min="6" max="6" width="50.28515625" style="5" customWidth="1"/>
    <col min="7" max="10" width="4.7109375" style="10" customWidth="1" outlineLevel="1"/>
    <col min="11" max="11" width="7" style="10" customWidth="1" collapsed="1"/>
    <col min="12" max="12" width="20" style="7" hidden="1" customWidth="1" outlineLevel="1"/>
    <col min="13" max="13" width="6.7109375" style="12" customWidth="1"/>
    <col min="14" max="14" width="6.140625" style="12" customWidth="1"/>
    <col min="15" max="15" width="8.42578125" style="7" customWidth="1" outlineLevel="1"/>
    <col min="16" max="17" width="6.28515625" style="11" customWidth="1" outlineLevel="1"/>
    <col min="18" max="18" width="6.28515625" style="7" customWidth="1" outlineLevel="1"/>
    <col min="19" max="158" width="1.7109375" style="5" customWidth="1"/>
    <col min="159" max="16384" width="9.140625" style="2"/>
  </cols>
  <sheetData>
    <row r="1" spans="1:158" s="1" customFormat="1" ht="17.25" customHeight="1">
      <c r="A1" s="124" t="s">
        <v>0</v>
      </c>
      <c r="B1" s="124" t="s">
        <v>1</v>
      </c>
      <c r="C1" s="124" t="s">
        <v>2</v>
      </c>
      <c r="D1" s="124" t="s">
        <v>3</v>
      </c>
      <c r="E1" s="8"/>
      <c r="F1" s="126"/>
      <c r="G1" s="128" t="s">
        <v>4</v>
      </c>
      <c r="H1" s="129"/>
      <c r="I1" s="129"/>
      <c r="J1" s="130"/>
      <c r="K1" s="135" t="s">
        <v>5</v>
      </c>
      <c r="L1" s="130" t="s">
        <v>6</v>
      </c>
      <c r="M1" s="128" t="s">
        <v>7</v>
      </c>
      <c r="N1" s="130"/>
      <c r="O1" s="117" t="s">
        <v>8</v>
      </c>
      <c r="P1" s="117"/>
      <c r="Q1" s="117"/>
      <c r="R1" s="117"/>
      <c r="S1" s="138" t="s">
        <v>32</v>
      </c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14" t="s">
        <v>33</v>
      </c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6"/>
      <c r="BM1" s="114" t="s">
        <v>34</v>
      </c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115"/>
      <c r="CH1" s="116"/>
      <c r="CI1" s="114" t="s">
        <v>46</v>
      </c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6"/>
      <c r="DE1" s="114" t="s">
        <v>47</v>
      </c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6"/>
      <c r="DZ1" s="114" t="s">
        <v>48</v>
      </c>
      <c r="EA1" s="115"/>
      <c r="EB1" s="115"/>
      <c r="EC1" s="115"/>
      <c r="ED1" s="115"/>
      <c r="EE1" s="115"/>
      <c r="EF1" s="115"/>
      <c r="EG1" s="115"/>
      <c r="EH1" s="115"/>
      <c r="EI1" s="115"/>
      <c r="EJ1" s="115"/>
      <c r="EK1" s="115"/>
      <c r="EL1" s="115"/>
      <c r="EM1" s="115"/>
      <c r="EN1" s="115"/>
      <c r="EO1" s="115"/>
      <c r="EP1" s="115"/>
      <c r="EQ1" s="115"/>
      <c r="ER1" s="115"/>
      <c r="ES1" s="115"/>
      <c r="ET1" s="115"/>
      <c r="EU1" s="115"/>
      <c r="EV1" s="116"/>
      <c r="EW1" s="56"/>
      <c r="EX1" s="56"/>
      <c r="EY1" s="56"/>
      <c r="EZ1" s="56"/>
      <c r="FA1" s="56"/>
      <c r="FB1" s="56"/>
    </row>
    <row r="2" spans="1:158" s="4" customFormat="1" ht="16.5" customHeight="1">
      <c r="A2" s="125"/>
      <c r="B2" s="125"/>
      <c r="C2" s="125"/>
      <c r="D2" s="125"/>
      <c r="E2" s="9"/>
      <c r="F2" s="127"/>
      <c r="G2" s="131"/>
      <c r="H2" s="132"/>
      <c r="I2" s="132"/>
      <c r="J2" s="133"/>
      <c r="K2" s="136"/>
      <c r="L2" s="134"/>
      <c r="M2" s="131"/>
      <c r="N2" s="133"/>
      <c r="O2" s="118" t="s">
        <v>9</v>
      </c>
      <c r="P2" s="120" t="s">
        <v>10</v>
      </c>
      <c r="Q2" s="120" t="s">
        <v>11</v>
      </c>
      <c r="R2" s="122" t="s">
        <v>12</v>
      </c>
      <c r="S2" s="112" t="s">
        <v>13</v>
      </c>
      <c r="T2" s="112"/>
      <c r="U2" s="112"/>
      <c r="V2" s="112"/>
      <c r="W2" s="112"/>
      <c r="X2" s="112" t="s">
        <v>57</v>
      </c>
      <c r="Y2" s="112"/>
      <c r="Z2" s="112"/>
      <c r="AA2" s="112"/>
      <c r="AB2" s="112"/>
      <c r="AC2" s="112" t="s">
        <v>58</v>
      </c>
      <c r="AD2" s="112"/>
      <c r="AE2" s="112"/>
      <c r="AF2" s="112"/>
      <c r="AG2" s="112"/>
      <c r="AH2" s="112" t="s">
        <v>59</v>
      </c>
      <c r="AI2" s="112"/>
      <c r="AJ2" s="112"/>
      <c r="AK2" s="112"/>
      <c r="AL2" s="112"/>
      <c r="AM2" s="112" t="s">
        <v>60</v>
      </c>
      <c r="AN2" s="112"/>
      <c r="AO2" s="112"/>
      <c r="AP2" s="112"/>
      <c r="AQ2" s="112"/>
      <c r="AR2" s="112" t="s">
        <v>61</v>
      </c>
      <c r="AS2" s="112"/>
      <c r="AT2" s="112"/>
      <c r="AU2" s="112"/>
      <c r="AV2" s="112"/>
      <c r="AW2" s="112" t="s">
        <v>62</v>
      </c>
      <c r="AX2" s="112"/>
      <c r="AY2" s="112"/>
      <c r="AZ2" s="112"/>
      <c r="BA2" s="112"/>
      <c r="BB2" s="112" t="s">
        <v>63</v>
      </c>
      <c r="BC2" s="112"/>
      <c r="BD2" s="112"/>
      <c r="BE2" s="112"/>
      <c r="BF2" s="112"/>
      <c r="BG2" s="112" t="s">
        <v>64</v>
      </c>
      <c r="BH2" s="112"/>
      <c r="BI2" s="112"/>
      <c r="BJ2" s="112"/>
      <c r="BK2" s="112"/>
      <c r="BL2" s="112" t="s">
        <v>65</v>
      </c>
      <c r="BM2" s="112"/>
      <c r="BN2" s="112"/>
      <c r="BO2" s="112"/>
      <c r="BP2" s="112"/>
      <c r="BQ2" s="112" t="s">
        <v>66</v>
      </c>
      <c r="BR2" s="112"/>
      <c r="BS2" s="112"/>
      <c r="BT2" s="112"/>
      <c r="BU2" s="112"/>
      <c r="BV2" s="112" t="s">
        <v>67</v>
      </c>
      <c r="BW2" s="112"/>
      <c r="BX2" s="112"/>
      <c r="BY2" s="112"/>
      <c r="BZ2" s="112"/>
      <c r="CA2" s="112" t="s">
        <v>68</v>
      </c>
      <c r="CB2" s="112"/>
      <c r="CC2" s="112"/>
      <c r="CD2" s="112"/>
      <c r="CE2" s="112"/>
      <c r="CF2" s="112" t="s">
        <v>35</v>
      </c>
      <c r="CG2" s="112"/>
      <c r="CH2" s="112"/>
      <c r="CI2" s="112"/>
      <c r="CJ2" s="112"/>
      <c r="CK2" s="112" t="s">
        <v>36</v>
      </c>
      <c r="CL2" s="112"/>
      <c r="CM2" s="112"/>
      <c r="CN2" s="112"/>
      <c r="CO2" s="112"/>
      <c r="CP2" s="112" t="s">
        <v>37</v>
      </c>
      <c r="CQ2" s="112"/>
      <c r="CR2" s="112"/>
      <c r="CS2" s="112"/>
      <c r="CT2" s="112"/>
      <c r="CU2" s="112" t="s">
        <v>38</v>
      </c>
      <c r="CV2" s="112"/>
      <c r="CW2" s="112"/>
      <c r="CX2" s="112"/>
      <c r="CY2" s="112"/>
      <c r="CZ2" s="112" t="s">
        <v>39</v>
      </c>
      <c r="DA2" s="112"/>
      <c r="DB2" s="112"/>
      <c r="DC2" s="112"/>
      <c r="DD2" s="112"/>
      <c r="DE2" s="112" t="s">
        <v>40</v>
      </c>
      <c r="DF2" s="112"/>
      <c r="DG2" s="112"/>
      <c r="DH2" s="112"/>
      <c r="DI2" s="112"/>
      <c r="DJ2" s="112" t="s">
        <v>41</v>
      </c>
      <c r="DK2" s="112"/>
      <c r="DL2" s="112"/>
      <c r="DM2" s="112"/>
      <c r="DN2" s="112"/>
      <c r="DO2" s="112" t="s">
        <v>42</v>
      </c>
      <c r="DP2" s="112"/>
      <c r="DQ2" s="112"/>
      <c r="DR2" s="112"/>
      <c r="DS2" s="112"/>
      <c r="DT2" s="112" t="s">
        <v>43</v>
      </c>
      <c r="DU2" s="112"/>
      <c r="DV2" s="112"/>
      <c r="DW2" s="112"/>
      <c r="DX2" s="112"/>
      <c r="DY2" s="112" t="s">
        <v>44</v>
      </c>
      <c r="DZ2" s="112"/>
      <c r="EA2" s="112"/>
      <c r="EB2" s="112"/>
      <c r="EC2" s="112"/>
      <c r="ED2" s="112" t="s">
        <v>45</v>
      </c>
      <c r="EE2" s="112"/>
      <c r="EF2" s="112"/>
      <c r="EG2" s="112"/>
      <c r="EH2" s="112"/>
      <c r="EI2" s="112" t="s">
        <v>69</v>
      </c>
      <c r="EJ2" s="112"/>
      <c r="EK2" s="112"/>
      <c r="EL2" s="112"/>
      <c r="EM2" s="112"/>
      <c r="EN2" s="112" t="s">
        <v>70</v>
      </c>
      <c r="EO2" s="112"/>
      <c r="EP2" s="112"/>
      <c r="EQ2" s="112"/>
      <c r="ER2" s="112"/>
      <c r="ES2" s="112" t="s">
        <v>71</v>
      </c>
      <c r="ET2" s="112"/>
      <c r="EU2" s="112"/>
      <c r="EV2" s="112"/>
      <c r="EW2" s="112"/>
      <c r="EX2" s="112"/>
      <c r="EY2" s="112"/>
      <c r="EZ2" s="112"/>
      <c r="FA2" s="112"/>
      <c r="FB2" s="112"/>
    </row>
    <row r="3" spans="1:158" s="3" customFormat="1" ht="21.75" customHeight="1" thickBot="1">
      <c r="A3" s="20" t="s">
        <v>31</v>
      </c>
      <c r="B3" s="21"/>
      <c r="C3" s="21"/>
      <c r="D3" s="21"/>
      <c r="E3" s="22"/>
      <c r="F3" s="23"/>
      <c r="G3" s="50" t="s">
        <v>14</v>
      </c>
      <c r="H3" s="50" t="s">
        <v>15</v>
      </c>
      <c r="I3" s="50" t="s">
        <v>114</v>
      </c>
      <c r="J3" s="50" t="s">
        <v>136</v>
      </c>
      <c r="K3" s="137"/>
      <c r="L3" s="133"/>
      <c r="M3" s="54" t="s">
        <v>16</v>
      </c>
      <c r="N3" s="54" t="s">
        <v>17</v>
      </c>
      <c r="O3" s="119"/>
      <c r="P3" s="121"/>
      <c r="Q3" s="121"/>
      <c r="R3" s="123"/>
      <c r="S3" s="113">
        <v>46202</v>
      </c>
      <c r="T3" s="113"/>
      <c r="U3" s="113"/>
      <c r="V3" s="113"/>
      <c r="W3" s="113"/>
      <c r="X3" s="113">
        <f>S3+7</f>
        <v>46209</v>
      </c>
      <c r="Y3" s="113"/>
      <c r="Z3" s="113"/>
      <c r="AA3" s="113"/>
      <c r="AB3" s="113"/>
      <c r="AC3" s="113">
        <f>X3+7</f>
        <v>46216</v>
      </c>
      <c r="AD3" s="113"/>
      <c r="AE3" s="113"/>
      <c r="AF3" s="113"/>
      <c r="AG3" s="113"/>
      <c r="AH3" s="113">
        <f>AC3+7</f>
        <v>46223</v>
      </c>
      <c r="AI3" s="113"/>
      <c r="AJ3" s="113"/>
      <c r="AK3" s="113"/>
      <c r="AL3" s="113"/>
      <c r="AM3" s="113">
        <f>AH3+7</f>
        <v>46230</v>
      </c>
      <c r="AN3" s="113"/>
      <c r="AO3" s="113"/>
      <c r="AP3" s="113"/>
      <c r="AQ3" s="113"/>
      <c r="AR3" s="113">
        <f>AM3+7</f>
        <v>46237</v>
      </c>
      <c r="AS3" s="113"/>
      <c r="AT3" s="113"/>
      <c r="AU3" s="113"/>
      <c r="AV3" s="113"/>
      <c r="AW3" s="113">
        <f>AR3+7</f>
        <v>46244</v>
      </c>
      <c r="AX3" s="113"/>
      <c r="AY3" s="113"/>
      <c r="AZ3" s="113"/>
      <c r="BA3" s="113"/>
      <c r="BB3" s="113">
        <f>AW3+7</f>
        <v>46251</v>
      </c>
      <c r="BC3" s="113"/>
      <c r="BD3" s="113"/>
      <c r="BE3" s="113"/>
      <c r="BF3" s="113"/>
      <c r="BG3" s="113">
        <f>BB3+7</f>
        <v>46258</v>
      </c>
      <c r="BH3" s="113"/>
      <c r="BI3" s="113"/>
      <c r="BJ3" s="113"/>
      <c r="BK3" s="113"/>
      <c r="BL3" s="113">
        <f>BG3+7</f>
        <v>46265</v>
      </c>
      <c r="BM3" s="113"/>
      <c r="BN3" s="113"/>
      <c r="BO3" s="113"/>
      <c r="BP3" s="113"/>
      <c r="BQ3" s="113">
        <f>BL3+7</f>
        <v>46272</v>
      </c>
      <c r="BR3" s="113"/>
      <c r="BS3" s="113"/>
      <c r="BT3" s="113"/>
      <c r="BU3" s="113"/>
      <c r="BV3" s="113">
        <f>BQ3+7</f>
        <v>46279</v>
      </c>
      <c r="BW3" s="113"/>
      <c r="BX3" s="113"/>
      <c r="BY3" s="113"/>
      <c r="BZ3" s="113"/>
      <c r="CA3" s="113">
        <f t="shared" ref="CA3" si="0">BV3+7</f>
        <v>46286</v>
      </c>
      <c r="CB3" s="113"/>
      <c r="CC3" s="113"/>
      <c r="CD3" s="113"/>
      <c r="CE3" s="113"/>
      <c r="CF3" s="113">
        <f t="shared" ref="CF3" si="1">CA3+7</f>
        <v>46293</v>
      </c>
      <c r="CG3" s="113"/>
      <c r="CH3" s="113"/>
      <c r="CI3" s="113"/>
      <c r="CJ3" s="113"/>
      <c r="CK3" s="113">
        <f t="shared" ref="CK3" si="2">CF3+7</f>
        <v>46300</v>
      </c>
      <c r="CL3" s="113"/>
      <c r="CM3" s="113"/>
      <c r="CN3" s="113"/>
      <c r="CO3" s="113"/>
      <c r="CP3" s="113">
        <f t="shared" ref="CP3" si="3">CK3+7</f>
        <v>46307</v>
      </c>
      <c r="CQ3" s="113"/>
      <c r="CR3" s="113"/>
      <c r="CS3" s="113"/>
      <c r="CT3" s="113"/>
      <c r="CU3" s="113">
        <f t="shared" ref="CU3" si="4">CP3+7</f>
        <v>46314</v>
      </c>
      <c r="CV3" s="113"/>
      <c r="CW3" s="113"/>
      <c r="CX3" s="113"/>
      <c r="CY3" s="113"/>
      <c r="CZ3" s="113">
        <f t="shared" ref="CZ3" si="5">CU3+7</f>
        <v>46321</v>
      </c>
      <c r="DA3" s="113"/>
      <c r="DB3" s="113"/>
      <c r="DC3" s="113"/>
      <c r="DD3" s="113"/>
      <c r="DE3" s="113">
        <f t="shared" ref="DE3" si="6">CZ3+7</f>
        <v>46328</v>
      </c>
      <c r="DF3" s="113"/>
      <c r="DG3" s="113"/>
      <c r="DH3" s="113"/>
      <c r="DI3" s="113"/>
      <c r="DJ3" s="113">
        <f t="shared" ref="DJ3" si="7">DE3+7</f>
        <v>46335</v>
      </c>
      <c r="DK3" s="113"/>
      <c r="DL3" s="113"/>
      <c r="DM3" s="113"/>
      <c r="DN3" s="113"/>
      <c r="DO3" s="113">
        <f t="shared" ref="DO3" si="8">DJ3+7</f>
        <v>46342</v>
      </c>
      <c r="DP3" s="113"/>
      <c r="DQ3" s="113"/>
      <c r="DR3" s="113"/>
      <c r="DS3" s="113"/>
      <c r="DT3" s="113">
        <f t="shared" ref="DT3" si="9">DO3+7</f>
        <v>46349</v>
      </c>
      <c r="DU3" s="113"/>
      <c r="DV3" s="113"/>
      <c r="DW3" s="113"/>
      <c r="DX3" s="113"/>
      <c r="DY3" s="113">
        <f t="shared" ref="DY3" si="10">DT3+7</f>
        <v>46356</v>
      </c>
      <c r="DZ3" s="113"/>
      <c r="EA3" s="113"/>
      <c r="EB3" s="113"/>
      <c r="EC3" s="113"/>
      <c r="ED3" s="113">
        <f t="shared" ref="ED3" si="11">DY3+7</f>
        <v>46363</v>
      </c>
      <c r="EE3" s="113"/>
      <c r="EF3" s="113"/>
      <c r="EG3" s="113"/>
      <c r="EH3" s="113"/>
      <c r="EI3" s="113">
        <f t="shared" ref="EI3" si="12">ED3+7</f>
        <v>46370</v>
      </c>
      <c r="EJ3" s="113"/>
      <c r="EK3" s="113"/>
      <c r="EL3" s="113"/>
      <c r="EM3" s="113"/>
      <c r="EN3" s="113">
        <f t="shared" ref="EN3" si="13">EI3+7</f>
        <v>46377</v>
      </c>
      <c r="EO3" s="113"/>
      <c r="EP3" s="113"/>
      <c r="EQ3" s="113"/>
      <c r="ER3" s="113"/>
      <c r="ES3" s="113">
        <f t="shared" ref="ES3" si="14">EN3+7</f>
        <v>46384</v>
      </c>
      <c r="ET3" s="113"/>
      <c r="EU3" s="113"/>
      <c r="EV3" s="113"/>
      <c r="EW3" s="113"/>
      <c r="EX3" s="113">
        <f>ES3+7</f>
        <v>46391</v>
      </c>
      <c r="EY3" s="113"/>
      <c r="EZ3" s="113"/>
      <c r="FA3" s="113"/>
      <c r="FB3" s="113"/>
    </row>
    <row r="4" spans="1:158" ht="23.25" customHeight="1">
      <c r="A4" s="26"/>
      <c r="B4" s="27" t="s">
        <v>53</v>
      </c>
      <c r="C4" s="28"/>
      <c r="D4" s="29"/>
      <c r="E4" s="30"/>
      <c r="F4" s="31"/>
      <c r="G4" s="58"/>
      <c r="H4" s="64"/>
      <c r="I4" s="64"/>
      <c r="J4" s="65"/>
      <c r="K4" s="66"/>
      <c r="L4" s="66"/>
      <c r="M4" s="32">
        <f>MIN(M5:M12)</f>
        <v>46204</v>
      </c>
      <c r="N4" s="33">
        <f>MAX(N5:N12)</f>
        <v>46213</v>
      </c>
      <c r="O4" s="25">
        <f>O5+O8+O12</f>
        <v>4.5454545454545456E-2</v>
      </c>
      <c r="P4" s="25"/>
      <c r="Q4" s="25"/>
      <c r="R4" s="25"/>
      <c r="S4" s="51">
        <f>S$3</f>
        <v>46202</v>
      </c>
      <c r="T4" s="52">
        <f>S4+1</f>
        <v>46203</v>
      </c>
      <c r="U4" s="52">
        <f t="shared" ref="U4:W4" si="15">T4+1</f>
        <v>46204</v>
      </c>
      <c r="V4" s="52">
        <f t="shared" si="15"/>
        <v>46205</v>
      </c>
      <c r="W4" s="53">
        <f t="shared" si="15"/>
        <v>46206</v>
      </c>
      <c r="X4" s="51">
        <v>46209</v>
      </c>
      <c r="Y4" s="52">
        <v>46210</v>
      </c>
      <c r="Z4" s="52">
        <v>46211</v>
      </c>
      <c r="AA4" s="52">
        <v>46212</v>
      </c>
      <c r="AB4" s="53">
        <v>46213</v>
      </c>
      <c r="AC4" s="51">
        <v>46216</v>
      </c>
      <c r="AD4" s="52">
        <v>46217</v>
      </c>
      <c r="AE4" s="52">
        <v>46218</v>
      </c>
      <c r="AF4" s="52">
        <v>46219</v>
      </c>
      <c r="AG4" s="53">
        <v>46220</v>
      </c>
      <c r="AH4" s="51">
        <v>46223</v>
      </c>
      <c r="AI4" s="52">
        <v>46224</v>
      </c>
      <c r="AJ4" s="52">
        <v>46225</v>
      </c>
      <c r="AK4" s="52">
        <v>46226</v>
      </c>
      <c r="AL4" s="53">
        <v>46227</v>
      </c>
      <c r="AM4" s="51">
        <v>46230</v>
      </c>
      <c r="AN4" s="52">
        <v>46231</v>
      </c>
      <c r="AO4" s="52">
        <v>46232</v>
      </c>
      <c r="AP4" s="52">
        <v>46233</v>
      </c>
      <c r="AQ4" s="53">
        <v>46234</v>
      </c>
      <c r="AR4" s="51">
        <v>46237</v>
      </c>
      <c r="AS4" s="52">
        <v>46238</v>
      </c>
      <c r="AT4" s="52">
        <v>46239</v>
      </c>
      <c r="AU4" s="52">
        <v>46240</v>
      </c>
      <c r="AV4" s="53">
        <v>46241</v>
      </c>
      <c r="AW4" s="51">
        <v>46244</v>
      </c>
      <c r="AX4" s="52">
        <v>46245</v>
      </c>
      <c r="AY4" s="52">
        <v>46246</v>
      </c>
      <c r="AZ4" s="52">
        <v>46247</v>
      </c>
      <c r="BA4" s="53">
        <v>46248</v>
      </c>
      <c r="BB4" s="51">
        <v>46251</v>
      </c>
      <c r="BC4" s="52">
        <v>46252</v>
      </c>
      <c r="BD4" s="52">
        <v>46253</v>
      </c>
      <c r="BE4" s="52">
        <v>46254</v>
      </c>
      <c r="BF4" s="53">
        <v>46255</v>
      </c>
      <c r="BG4" s="51">
        <v>46258</v>
      </c>
      <c r="BH4" s="52">
        <v>46259</v>
      </c>
      <c r="BI4" s="52">
        <v>46260</v>
      </c>
      <c r="BJ4" s="52">
        <v>46261</v>
      </c>
      <c r="BK4" s="53">
        <v>46262</v>
      </c>
      <c r="BL4" s="51">
        <v>46265</v>
      </c>
      <c r="BM4" s="52">
        <v>46266</v>
      </c>
      <c r="BN4" s="52">
        <v>46267</v>
      </c>
      <c r="BO4" s="52">
        <v>46268</v>
      </c>
      <c r="BP4" s="53">
        <v>46269</v>
      </c>
      <c r="BQ4" s="51">
        <v>46272</v>
      </c>
      <c r="BR4" s="52">
        <v>46273</v>
      </c>
      <c r="BS4" s="52">
        <v>46274</v>
      </c>
      <c r="BT4" s="52">
        <v>46275</v>
      </c>
      <c r="BU4" s="53">
        <v>46276</v>
      </c>
      <c r="BV4" s="51">
        <v>46279</v>
      </c>
      <c r="BW4" s="52">
        <v>46280</v>
      </c>
      <c r="BX4" s="52">
        <v>46281</v>
      </c>
      <c r="BY4" s="52">
        <v>46282</v>
      </c>
      <c r="BZ4" s="53">
        <v>46283</v>
      </c>
      <c r="CA4" s="51">
        <v>46286</v>
      </c>
      <c r="CB4" s="52">
        <v>46287</v>
      </c>
      <c r="CC4" s="52">
        <v>46288</v>
      </c>
      <c r="CD4" s="52">
        <v>46289</v>
      </c>
      <c r="CE4" s="53">
        <v>46290</v>
      </c>
      <c r="CF4" s="51">
        <v>46293</v>
      </c>
      <c r="CG4" s="52">
        <v>46294</v>
      </c>
      <c r="CH4" s="52">
        <v>46295</v>
      </c>
      <c r="CI4" s="52">
        <v>46296</v>
      </c>
      <c r="CJ4" s="53">
        <v>46297</v>
      </c>
      <c r="CK4" s="51">
        <f>CK$3</f>
        <v>46300</v>
      </c>
      <c r="CL4" s="52">
        <f>CK4+1</f>
        <v>46301</v>
      </c>
      <c r="CM4" s="52">
        <f t="shared" ref="CM4:CO4" si="16">CL4+1</f>
        <v>46302</v>
      </c>
      <c r="CN4" s="52">
        <f t="shared" si="16"/>
        <v>46303</v>
      </c>
      <c r="CO4" s="53">
        <f t="shared" si="16"/>
        <v>46304</v>
      </c>
      <c r="CP4" s="51">
        <f>CP$3</f>
        <v>46307</v>
      </c>
      <c r="CQ4" s="52">
        <f>CP4+1</f>
        <v>46308</v>
      </c>
      <c r="CR4" s="52">
        <f t="shared" ref="CR4:CT4" si="17">CQ4+1</f>
        <v>46309</v>
      </c>
      <c r="CS4" s="52">
        <f t="shared" si="17"/>
        <v>46310</v>
      </c>
      <c r="CT4" s="53">
        <f t="shared" si="17"/>
        <v>46311</v>
      </c>
      <c r="CU4" s="51">
        <f>CU$3</f>
        <v>46314</v>
      </c>
      <c r="CV4" s="52">
        <f>CU4+1</f>
        <v>46315</v>
      </c>
      <c r="CW4" s="52">
        <f t="shared" ref="CW4:CY4" si="18">CV4+1</f>
        <v>46316</v>
      </c>
      <c r="CX4" s="52">
        <f t="shared" si="18"/>
        <v>46317</v>
      </c>
      <c r="CY4" s="53">
        <f t="shared" si="18"/>
        <v>46318</v>
      </c>
      <c r="CZ4" s="51">
        <f>CZ$3</f>
        <v>46321</v>
      </c>
      <c r="DA4" s="52">
        <f>CZ4+1</f>
        <v>46322</v>
      </c>
      <c r="DB4" s="52">
        <f t="shared" ref="DB4:DD4" si="19">DA4+1</f>
        <v>46323</v>
      </c>
      <c r="DC4" s="52">
        <f t="shared" si="19"/>
        <v>46324</v>
      </c>
      <c r="DD4" s="53">
        <f t="shared" si="19"/>
        <v>46325</v>
      </c>
      <c r="DE4" s="51">
        <f>DE$3</f>
        <v>46328</v>
      </c>
      <c r="DF4" s="52">
        <f>DE4+1</f>
        <v>46329</v>
      </c>
      <c r="DG4" s="52">
        <f t="shared" ref="DG4:DI4" si="20">DF4+1</f>
        <v>46330</v>
      </c>
      <c r="DH4" s="52">
        <f t="shared" si="20"/>
        <v>46331</v>
      </c>
      <c r="DI4" s="53">
        <f t="shared" si="20"/>
        <v>46332</v>
      </c>
      <c r="DJ4" s="51">
        <f>DJ$3</f>
        <v>46335</v>
      </c>
      <c r="DK4" s="52">
        <f>DJ4+1</f>
        <v>46336</v>
      </c>
      <c r="DL4" s="52">
        <f t="shared" ref="DL4:DN4" si="21">DK4+1</f>
        <v>46337</v>
      </c>
      <c r="DM4" s="52">
        <f t="shared" si="21"/>
        <v>46338</v>
      </c>
      <c r="DN4" s="53">
        <f t="shared" si="21"/>
        <v>46339</v>
      </c>
      <c r="DO4" s="51">
        <f>DO$3</f>
        <v>46342</v>
      </c>
      <c r="DP4" s="52">
        <f>DO4+1</f>
        <v>46343</v>
      </c>
      <c r="DQ4" s="52">
        <f t="shared" ref="DQ4:DS4" si="22">DP4+1</f>
        <v>46344</v>
      </c>
      <c r="DR4" s="52">
        <f t="shared" si="22"/>
        <v>46345</v>
      </c>
      <c r="DS4" s="53">
        <f t="shared" si="22"/>
        <v>46346</v>
      </c>
      <c r="DT4" s="51">
        <f>DT$3</f>
        <v>46349</v>
      </c>
      <c r="DU4" s="52">
        <f>DT4+1</f>
        <v>46350</v>
      </c>
      <c r="DV4" s="52">
        <f t="shared" ref="DV4:DX4" si="23">DU4+1</f>
        <v>46351</v>
      </c>
      <c r="DW4" s="52">
        <f t="shared" si="23"/>
        <v>46352</v>
      </c>
      <c r="DX4" s="53">
        <f t="shared" si="23"/>
        <v>46353</v>
      </c>
      <c r="DY4" s="51">
        <f>DY$3</f>
        <v>46356</v>
      </c>
      <c r="DZ4" s="52">
        <f>DY4+1</f>
        <v>46357</v>
      </c>
      <c r="EA4" s="52">
        <f t="shared" ref="EA4:EC4" si="24">DZ4+1</f>
        <v>46358</v>
      </c>
      <c r="EB4" s="52">
        <f t="shared" si="24"/>
        <v>46359</v>
      </c>
      <c r="EC4" s="53">
        <f t="shared" si="24"/>
        <v>46360</v>
      </c>
      <c r="ED4" s="51">
        <f>ED$3</f>
        <v>46363</v>
      </c>
      <c r="EE4" s="52">
        <f>ED4+1</f>
        <v>46364</v>
      </c>
      <c r="EF4" s="52">
        <f t="shared" ref="EF4:EH4" si="25">EE4+1</f>
        <v>46365</v>
      </c>
      <c r="EG4" s="52">
        <f t="shared" si="25"/>
        <v>46366</v>
      </c>
      <c r="EH4" s="53">
        <f t="shared" si="25"/>
        <v>46367</v>
      </c>
      <c r="EI4" s="51">
        <f>EI$3</f>
        <v>46370</v>
      </c>
      <c r="EJ4" s="52">
        <f>EI4+1</f>
        <v>46371</v>
      </c>
      <c r="EK4" s="52">
        <f t="shared" ref="EK4:EM4" si="26">EJ4+1</f>
        <v>46372</v>
      </c>
      <c r="EL4" s="52">
        <f t="shared" si="26"/>
        <v>46373</v>
      </c>
      <c r="EM4" s="53">
        <f t="shared" si="26"/>
        <v>46374</v>
      </c>
      <c r="EN4" s="51">
        <f>EN$3</f>
        <v>46377</v>
      </c>
      <c r="EO4" s="52">
        <f>EN4+1</f>
        <v>46378</v>
      </c>
      <c r="EP4" s="52">
        <f t="shared" ref="EP4:ER4" si="27">EO4+1</f>
        <v>46379</v>
      </c>
      <c r="EQ4" s="52">
        <f t="shared" si="27"/>
        <v>46380</v>
      </c>
      <c r="ER4" s="53">
        <f t="shared" si="27"/>
        <v>46381</v>
      </c>
      <c r="ES4" s="51">
        <f>ES$3</f>
        <v>46384</v>
      </c>
      <c r="ET4" s="52">
        <f>ES4+1</f>
        <v>46385</v>
      </c>
      <c r="EU4" s="52">
        <f t="shared" ref="EU4:EW4" si="28">ET4+1</f>
        <v>46386</v>
      </c>
      <c r="EV4" s="52">
        <f t="shared" si="28"/>
        <v>46387</v>
      </c>
      <c r="EW4" s="53">
        <f t="shared" si="28"/>
        <v>46388</v>
      </c>
      <c r="EX4" s="51">
        <f>EX$3</f>
        <v>46391</v>
      </c>
      <c r="EY4" s="52">
        <f>EX3+1</f>
        <v>46392</v>
      </c>
      <c r="EZ4" s="52">
        <f t="shared" ref="EZ4:FB26" si="29">EY3+1</f>
        <v>1</v>
      </c>
      <c r="FA4" s="52">
        <f t="shared" si="29"/>
        <v>1</v>
      </c>
      <c r="FB4" s="53">
        <f t="shared" si="29"/>
        <v>1</v>
      </c>
    </row>
    <row r="5" spans="1:158" ht="17.25" customHeight="1" outlineLevel="1">
      <c r="A5" s="26"/>
      <c r="B5" s="34"/>
      <c r="C5" s="35" t="s">
        <v>54</v>
      </c>
      <c r="D5" s="36"/>
      <c r="E5" s="37"/>
      <c r="F5" s="38"/>
      <c r="G5" s="59"/>
      <c r="H5" s="67"/>
      <c r="I5" s="67"/>
      <c r="J5" s="68"/>
      <c r="K5" s="69"/>
      <c r="L5" s="70"/>
      <c r="M5" s="39">
        <f>MIN(M6:M7)</f>
        <v>46204</v>
      </c>
      <c r="N5" s="40">
        <f>MAX(N6:N7)</f>
        <v>46210</v>
      </c>
      <c r="O5" s="24">
        <f>SUM(O6:O7)</f>
        <v>1.5151515151515152E-2</v>
      </c>
      <c r="P5" s="24"/>
      <c r="Q5" s="24"/>
      <c r="R5" s="24"/>
      <c r="S5" s="51">
        <f t="shared" ref="S5:S70" si="30">S$3</f>
        <v>46202</v>
      </c>
      <c r="T5" s="52">
        <f t="shared" ref="T5:W5" si="31">S5+1</f>
        <v>46203</v>
      </c>
      <c r="U5" s="52">
        <f t="shared" si="31"/>
        <v>46204</v>
      </c>
      <c r="V5" s="52">
        <f t="shared" si="31"/>
        <v>46205</v>
      </c>
      <c r="W5" s="53">
        <f t="shared" si="31"/>
        <v>46206</v>
      </c>
      <c r="X5" s="51">
        <v>46209</v>
      </c>
      <c r="Y5" s="52">
        <v>46210</v>
      </c>
      <c r="Z5" s="52">
        <v>46211</v>
      </c>
      <c r="AA5" s="52">
        <v>46212</v>
      </c>
      <c r="AB5" s="53">
        <v>46213</v>
      </c>
      <c r="AC5" s="51">
        <v>46216</v>
      </c>
      <c r="AD5" s="52">
        <v>46217</v>
      </c>
      <c r="AE5" s="52">
        <v>46218</v>
      </c>
      <c r="AF5" s="52">
        <v>46219</v>
      </c>
      <c r="AG5" s="53">
        <v>46220</v>
      </c>
      <c r="AH5" s="51">
        <v>46223</v>
      </c>
      <c r="AI5" s="52">
        <v>46224</v>
      </c>
      <c r="AJ5" s="52">
        <v>46225</v>
      </c>
      <c r="AK5" s="52">
        <v>46226</v>
      </c>
      <c r="AL5" s="53">
        <v>46227</v>
      </c>
      <c r="AM5" s="51">
        <v>46230</v>
      </c>
      <c r="AN5" s="52">
        <v>46231</v>
      </c>
      <c r="AO5" s="52">
        <v>46232</v>
      </c>
      <c r="AP5" s="52">
        <v>46233</v>
      </c>
      <c r="AQ5" s="53">
        <v>46234</v>
      </c>
      <c r="AR5" s="51">
        <v>46237</v>
      </c>
      <c r="AS5" s="52">
        <v>46238</v>
      </c>
      <c r="AT5" s="52">
        <v>46239</v>
      </c>
      <c r="AU5" s="52">
        <v>46240</v>
      </c>
      <c r="AV5" s="53">
        <v>46241</v>
      </c>
      <c r="AW5" s="51">
        <v>46244</v>
      </c>
      <c r="AX5" s="52">
        <v>46245</v>
      </c>
      <c r="AY5" s="52">
        <v>46246</v>
      </c>
      <c r="AZ5" s="52">
        <v>46247</v>
      </c>
      <c r="BA5" s="53">
        <v>46248</v>
      </c>
      <c r="BB5" s="51">
        <v>46251</v>
      </c>
      <c r="BC5" s="52">
        <v>46252</v>
      </c>
      <c r="BD5" s="52">
        <v>46253</v>
      </c>
      <c r="BE5" s="52">
        <v>46254</v>
      </c>
      <c r="BF5" s="53">
        <v>46255</v>
      </c>
      <c r="BG5" s="51">
        <v>46258</v>
      </c>
      <c r="BH5" s="52">
        <v>46259</v>
      </c>
      <c r="BI5" s="52">
        <v>46260</v>
      </c>
      <c r="BJ5" s="52">
        <v>46261</v>
      </c>
      <c r="BK5" s="53">
        <v>46262</v>
      </c>
      <c r="BL5" s="51">
        <v>46265</v>
      </c>
      <c r="BM5" s="52">
        <v>46266</v>
      </c>
      <c r="BN5" s="52">
        <v>46267</v>
      </c>
      <c r="BO5" s="52">
        <v>46268</v>
      </c>
      <c r="BP5" s="53">
        <v>46269</v>
      </c>
      <c r="BQ5" s="51">
        <v>46272</v>
      </c>
      <c r="BR5" s="52">
        <v>46273</v>
      </c>
      <c r="BS5" s="52">
        <v>46274</v>
      </c>
      <c r="BT5" s="52">
        <v>46275</v>
      </c>
      <c r="BU5" s="53">
        <v>46276</v>
      </c>
      <c r="BV5" s="51">
        <v>46279</v>
      </c>
      <c r="BW5" s="52">
        <v>46280</v>
      </c>
      <c r="BX5" s="52">
        <v>46281</v>
      </c>
      <c r="BY5" s="52">
        <v>46282</v>
      </c>
      <c r="BZ5" s="53">
        <v>46283</v>
      </c>
      <c r="CA5" s="51">
        <v>46286</v>
      </c>
      <c r="CB5" s="52">
        <v>46287</v>
      </c>
      <c r="CC5" s="52">
        <v>46288</v>
      </c>
      <c r="CD5" s="52">
        <v>46289</v>
      </c>
      <c r="CE5" s="53">
        <v>46290</v>
      </c>
      <c r="CF5" s="51">
        <v>46293</v>
      </c>
      <c r="CG5" s="52">
        <v>46294</v>
      </c>
      <c r="CH5" s="52">
        <v>46295</v>
      </c>
      <c r="CI5" s="52">
        <v>46296</v>
      </c>
      <c r="CJ5" s="53">
        <v>46297</v>
      </c>
      <c r="CK5" s="51">
        <f t="shared" ref="CK5:CK70" si="32">CK$3</f>
        <v>46300</v>
      </c>
      <c r="CL5" s="52">
        <f t="shared" ref="CL5:CO5" si="33">CK5+1</f>
        <v>46301</v>
      </c>
      <c r="CM5" s="52">
        <f t="shared" si="33"/>
        <v>46302</v>
      </c>
      <c r="CN5" s="52">
        <f t="shared" si="33"/>
        <v>46303</v>
      </c>
      <c r="CO5" s="53">
        <f t="shared" si="33"/>
        <v>46304</v>
      </c>
      <c r="CP5" s="51">
        <f>CP$3</f>
        <v>46307</v>
      </c>
      <c r="CQ5" s="52">
        <f t="shared" ref="CQ5:CT5" si="34">CP5+1</f>
        <v>46308</v>
      </c>
      <c r="CR5" s="52">
        <f t="shared" si="34"/>
        <v>46309</v>
      </c>
      <c r="CS5" s="52">
        <f t="shared" si="34"/>
        <v>46310</v>
      </c>
      <c r="CT5" s="53">
        <f t="shared" si="34"/>
        <v>46311</v>
      </c>
      <c r="CU5" s="51">
        <f t="shared" ref="CU5:CU70" si="35">CU$3</f>
        <v>46314</v>
      </c>
      <c r="CV5" s="52">
        <f t="shared" ref="CV5:CY5" si="36">CU5+1</f>
        <v>46315</v>
      </c>
      <c r="CW5" s="52">
        <f t="shared" si="36"/>
        <v>46316</v>
      </c>
      <c r="CX5" s="52">
        <f t="shared" si="36"/>
        <v>46317</v>
      </c>
      <c r="CY5" s="53">
        <f t="shared" si="36"/>
        <v>46318</v>
      </c>
      <c r="CZ5" s="51">
        <f t="shared" ref="CZ5:CZ70" si="37">CZ$3</f>
        <v>46321</v>
      </c>
      <c r="DA5" s="52">
        <f t="shared" ref="DA5:DD5" si="38">CZ5+1</f>
        <v>46322</v>
      </c>
      <c r="DB5" s="52">
        <f t="shared" si="38"/>
        <v>46323</v>
      </c>
      <c r="DC5" s="52">
        <f t="shared" si="38"/>
        <v>46324</v>
      </c>
      <c r="DD5" s="53">
        <f t="shared" si="38"/>
        <v>46325</v>
      </c>
      <c r="DE5" s="51">
        <f t="shared" ref="DE5:DE70" si="39">DE$3</f>
        <v>46328</v>
      </c>
      <c r="DF5" s="52">
        <f t="shared" ref="DF5:DI5" si="40">DE5+1</f>
        <v>46329</v>
      </c>
      <c r="DG5" s="52">
        <f t="shared" si="40"/>
        <v>46330</v>
      </c>
      <c r="DH5" s="52">
        <f t="shared" si="40"/>
        <v>46331</v>
      </c>
      <c r="DI5" s="53">
        <f t="shared" si="40"/>
        <v>46332</v>
      </c>
      <c r="DJ5" s="51">
        <f t="shared" ref="DJ5:DJ70" si="41">DJ$3</f>
        <v>46335</v>
      </c>
      <c r="DK5" s="52">
        <f t="shared" ref="DK5:DN5" si="42">DJ5+1</f>
        <v>46336</v>
      </c>
      <c r="DL5" s="52">
        <f t="shared" si="42"/>
        <v>46337</v>
      </c>
      <c r="DM5" s="52">
        <f t="shared" si="42"/>
        <v>46338</v>
      </c>
      <c r="DN5" s="53">
        <f t="shared" si="42"/>
        <v>46339</v>
      </c>
      <c r="DO5" s="51">
        <f t="shared" ref="DO5:DO70" si="43">DO$3</f>
        <v>46342</v>
      </c>
      <c r="DP5" s="52">
        <f t="shared" ref="DP5:DS5" si="44">DO5+1</f>
        <v>46343</v>
      </c>
      <c r="DQ5" s="52">
        <f t="shared" si="44"/>
        <v>46344</v>
      </c>
      <c r="DR5" s="52">
        <f t="shared" si="44"/>
        <v>46345</v>
      </c>
      <c r="DS5" s="53">
        <f t="shared" si="44"/>
        <v>46346</v>
      </c>
      <c r="DT5" s="51">
        <f t="shared" ref="DT5:DT70" si="45">DT$3</f>
        <v>46349</v>
      </c>
      <c r="DU5" s="52">
        <f t="shared" ref="DU5:DX5" si="46">DT5+1</f>
        <v>46350</v>
      </c>
      <c r="DV5" s="52">
        <f t="shared" si="46"/>
        <v>46351</v>
      </c>
      <c r="DW5" s="52">
        <f t="shared" si="46"/>
        <v>46352</v>
      </c>
      <c r="DX5" s="53">
        <f t="shared" si="46"/>
        <v>46353</v>
      </c>
      <c r="DY5" s="51">
        <f t="shared" ref="DY5:DY70" si="47">DY$3</f>
        <v>46356</v>
      </c>
      <c r="DZ5" s="52">
        <f t="shared" ref="DZ5:EC5" si="48">DY5+1</f>
        <v>46357</v>
      </c>
      <c r="EA5" s="52">
        <f t="shared" si="48"/>
        <v>46358</v>
      </c>
      <c r="EB5" s="52">
        <f t="shared" si="48"/>
        <v>46359</v>
      </c>
      <c r="EC5" s="53">
        <f t="shared" si="48"/>
        <v>46360</v>
      </c>
      <c r="ED5" s="51">
        <f t="shared" ref="ED5:ED70" si="49">ED$3</f>
        <v>46363</v>
      </c>
      <c r="EE5" s="52">
        <f t="shared" ref="EE5:EH5" si="50">ED5+1</f>
        <v>46364</v>
      </c>
      <c r="EF5" s="52">
        <f t="shared" si="50"/>
        <v>46365</v>
      </c>
      <c r="EG5" s="52">
        <f t="shared" si="50"/>
        <v>46366</v>
      </c>
      <c r="EH5" s="53">
        <f t="shared" si="50"/>
        <v>46367</v>
      </c>
      <c r="EI5" s="51">
        <f t="shared" ref="EI5:EI70" si="51">EI$3</f>
        <v>46370</v>
      </c>
      <c r="EJ5" s="52">
        <f t="shared" ref="EJ5:EM5" si="52">EI5+1</f>
        <v>46371</v>
      </c>
      <c r="EK5" s="52">
        <f t="shared" si="52"/>
        <v>46372</v>
      </c>
      <c r="EL5" s="52">
        <f t="shared" si="52"/>
        <v>46373</v>
      </c>
      <c r="EM5" s="53">
        <f t="shared" si="52"/>
        <v>46374</v>
      </c>
      <c r="EN5" s="51">
        <f t="shared" ref="EN5:EN70" si="53">EN$3</f>
        <v>46377</v>
      </c>
      <c r="EO5" s="52">
        <f t="shared" ref="EO5:ER5" si="54">EN5+1</f>
        <v>46378</v>
      </c>
      <c r="EP5" s="52">
        <f t="shared" si="54"/>
        <v>46379</v>
      </c>
      <c r="EQ5" s="52">
        <f t="shared" si="54"/>
        <v>46380</v>
      </c>
      <c r="ER5" s="53">
        <f t="shared" si="54"/>
        <v>46381</v>
      </c>
      <c r="ES5" s="51">
        <f t="shared" ref="ES5:ES70" si="55">ES$3</f>
        <v>46384</v>
      </c>
      <c r="ET5" s="52">
        <f t="shared" ref="ET5:EW5" si="56">ES5+1</f>
        <v>46385</v>
      </c>
      <c r="EU5" s="52">
        <f t="shared" si="56"/>
        <v>46386</v>
      </c>
      <c r="EV5" s="52">
        <f t="shared" si="56"/>
        <v>46387</v>
      </c>
      <c r="EW5" s="53">
        <f t="shared" si="56"/>
        <v>46388</v>
      </c>
      <c r="EX5" s="51">
        <f t="shared" ref="EX5:EX70" si="57">EX$3</f>
        <v>46391</v>
      </c>
      <c r="EY5" s="52">
        <f t="shared" ref="EY5:FB49" si="58">EX4+1</f>
        <v>46392</v>
      </c>
      <c r="EZ5" s="52">
        <f t="shared" si="29"/>
        <v>46393</v>
      </c>
      <c r="FA5" s="52">
        <f t="shared" si="29"/>
        <v>2</v>
      </c>
      <c r="FB5" s="53">
        <f t="shared" si="29"/>
        <v>2</v>
      </c>
    </row>
    <row r="6" spans="1:158" ht="18" customHeight="1" outlineLevel="2">
      <c r="A6" s="26"/>
      <c r="B6" s="34"/>
      <c r="C6" s="34"/>
      <c r="D6" s="41" t="s">
        <v>55</v>
      </c>
      <c r="E6" s="42"/>
      <c r="F6" s="43"/>
      <c r="G6" s="60" t="s">
        <v>18</v>
      </c>
      <c r="H6" s="71"/>
      <c r="I6" s="71"/>
      <c r="J6" s="72"/>
      <c r="K6" s="73"/>
      <c r="L6" s="74" t="s">
        <v>116</v>
      </c>
      <c r="M6" s="46">
        <v>46204</v>
      </c>
      <c r="N6" s="47">
        <v>46210</v>
      </c>
      <c r="O6" s="14">
        <f>5/132/5</f>
        <v>7.575757575757576E-3</v>
      </c>
      <c r="P6" s="14"/>
      <c r="Q6" s="15"/>
      <c r="R6" s="14"/>
      <c r="S6" s="51">
        <f t="shared" si="30"/>
        <v>46202</v>
      </c>
      <c r="T6" s="52">
        <f t="shared" ref="T6:W6" si="59">S6+1</f>
        <v>46203</v>
      </c>
      <c r="U6" s="52">
        <f t="shared" si="59"/>
        <v>46204</v>
      </c>
      <c r="V6" s="52">
        <f t="shared" si="59"/>
        <v>46205</v>
      </c>
      <c r="W6" s="53">
        <f t="shared" si="59"/>
        <v>46206</v>
      </c>
      <c r="X6" s="51">
        <v>46209</v>
      </c>
      <c r="Y6" s="52">
        <v>46210</v>
      </c>
      <c r="Z6" s="52">
        <v>46211</v>
      </c>
      <c r="AA6" s="52">
        <v>46212</v>
      </c>
      <c r="AB6" s="53">
        <v>46213</v>
      </c>
      <c r="AC6" s="51">
        <v>46216</v>
      </c>
      <c r="AD6" s="52">
        <v>46217</v>
      </c>
      <c r="AE6" s="52">
        <v>46218</v>
      </c>
      <c r="AF6" s="52">
        <v>46219</v>
      </c>
      <c r="AG6" s="53">
        <v>46220</v>
      </c>
      <c r="AH6" s="51">
        <v>46223</v>
      </c>
      <c r="AI6" s="52">
        <v>46224</v>
      </c>
      <c r="AJ6" s="52">
        <v>46225</v>
      </c>
      <c r="AK6" s="52">
        <v>46226</v>
      </c>
      <c r="AL6" s="53">
        <v>46227</v>
      </c>
      <c r="AM6" s="51">
        <v>46230</v>
      </c>
      <c r="AN6" s="52">
        <v>46231</v>
      </c>
      <c r="AO6" s="52">
        <v>46232</v>
      </c>
      <c r="AP6" s="52">
        <v>46233</v>
      </c>
      <c r="AQ6" s="53">
        <v>46234</v>
      </c>
      <c r="AR6" s="51">
        <v>46237</v>
      </c>
      <c r="AS6" s="52">
        <v>46238</v>
      </c>
      <c r="AT6" s="52">
        <v>46239</v>
      </c>
      <c r="AU6" s="52">
        <v>46240</v>
      </c>
      <c r="AV6" s="53">
        <v>46241</v>
      </c>
      <c r="AW6" s="51">
        <v>46244</v>
      </c>
      <c r="AX6" s="52">
        <v>46245</v>
      </c>
      <c r="AY6" s="52">
        <v>46246</v>
      </c>
      <c r="AZ6" s="52">
        <v>46247</v>
      </c>
      <c r="BA6" s="53">
        <v>46248</v>
      </c>
      <c r="BB6" s="51">
        <v>46251</v>
      </c>
      <c r="BC6" s="52">
        <v>46252</v>
      </c>
      <c r="BD6" s="52">
        <v>46253</v>
      </c>
      <c r="BE6" s="52">
        <v>46254</v>
      </c>
      <c r="BF6" s="53">
        <v>46255</v>
      </c>
      <c r="BG6" s="51">
        <v>46258</v>
      </c>
      <c r="BH6" s="52">
        <v>46259</v>
      </c>
      <c r="BI6" s="52">
        <v>46260</v>
      </c>
      <c r="BJ6" s="52">
        <v>46261</v>
      </c>
      <c r="BK6" s="53">
        <v>46262</v>
      </c>
      <c r="BL6" s="51">
        <v>46265</v>
      </c>
      <c r="BM6" s="52">
        <v>46266</v>
      </c>
      <c r="BN6" s="52">
        <v>46267</v>
      </c>
      <c r="BO6" s="52">
        <v>46268</v>
      </c>
      <c r="BP6" s="53">
        <v>46269</v>
      </c>
      <c r="BQ6" s="51">
        <v>46272</v>
      </c>
      <c r="BR6" s="52">
        <v>46273</v>
      </c>
      <c r="BS6" s="52">
        <v>46274</v>
      </c>
      <c r="BT6" s="52">
        <v>46275</v>
      </c>
      <c r="BU6" s="53">
        <v>46276</v>
      </c>
      <c r="BV6" s="51">
        <v>46279</v>
      </c>
      <c r="BW6" s="52">
        <v>46280</v>
      </c>
      <c r="BX6" s="52">
        <v>46281</v>
      </c>
      <c r="BY6" s="52">
        <v>46282</v>
      </c>
      <c r="BZ6" s="53">
        <v>46283</v>
      </c>
      <c r="CA6" s="51">
        <v>46286</v>
      </c>
      <c r="CB6" s="52">
        <v>46287</v>
      </c>
      <c r="CC6" s="52">
        <v>46288</v>
      </c>
      <c r="CD6" s="52">
        <v>46289</v>
      </c>
      <c r="CE6" s="53">
        <v>46290</v>
      </c>
      <c r="CF6" s="51">
        <v>46293</v>
      </c>
      <c r="CG6" s="52">
        <v>46294</v>
      </c>
      <c r="CH6" s="52">
        <v>46295</v>
      </c>
      <c r="CI6" s="52">
        <v>46296</v>
      </c>
      <c r="CJ6" s="53">
        <v>46297</v>
      </c>
      <c r="CK6" s="51">
        <f t="shared" si="32"/>
        <v>46300</v>
      </c>
      <c r="CL6" s="52">
        <f t="shared" ref="CL6:CO6" si="60">CK6+1</f>
        <v>46301</v>
      </c>
      <c r="CM6" s="52">
        <f t="shared" si="60"/>
        <v>46302</v>
      </c>
      <c r="CN6" s="52">
        <f t="shared" si="60"/>
        <v>46303</v>
      </c>
      <c r="CO6" s="53">
        <f t="shared" si="60"/>
        <v>46304</v>
      </c>
      <c r="CP6" s="51">
        <f t="shared" ref="CP6:CP70" si="61">CP$3</f>
        <v>46307</v>
      </c>
      <c r="CQ6" s="52">
        <f t="shared" ref="CQ6:CT6" si="62">CP6+1</f>
        <v>46308</v>
      </c>
      <c r="CR6" s="52">
        <f t="shared" si="62"/>
        <v>46309</v>
      </c>
      <c r="CS6" s="52">
        <f t="shared" si="62"/>
        <v>46310</v>
      </c>
      <c r="CT6" s="53">
        <f t="shared" si="62"/>
        <v>46311</v>
      </c>
      <c r="CU6" s="51">
        <f t="shared" si="35"/>
        <v>46314</v>
      </c>
      <c r="CV6" s="52">
        <f t="shared" ref="CV6:CY6" si="63">CU6+1</f>
        <v>46315</v>
      </c>
      <c r="CW6" s="52">
        <f t="shared" si="63"/>
        <v>46316</v>
      </c>
      <c r="CX6" s="52">
        <f t="shared" si="63"/>
        <v>46317</v>
      </c>
      <c r="CY6" s="53">
        <f t="shared" si="63"/>
        <v>46318</v>
      </c>
      <c r="CZ6" s="51">
        <f t="shared" si="37"/>
        <v>46321</v>
      </c>
      <c r="DA6" s="52">
        <f t="shared" ref="DA6:DD6" si="64">CZ6+1</f>
        <v>46322</v>
      </c>
      <c r="DB6" s="52">
        <f t="shared" si="64"/>
        <v>46323</v>
      </c>
      <c r="DC6" s="52">
        <f t="shared" si="64"/>
        <v>46324</v>
      </c>
      <c r="DD6" s="53">
        <f t="shared" si="64"/>
        <v>46325</v>
      </c>
      <c r="DE6" s="51">
        <f t="shared" si="39"/>
        <v>46328</v>
      </c>
      <c r="DF6" s="52">
        <f t="shared" ref="DF6:DI6" si="65">DE6+1</f>
        <v>46329</v>
      </c>
      <c r="DG6" s="52">
        <f t="shared" si="65"/>
        <v>46330</v>
      </c>
      <c r="DH6" s="52">
        <f t="shared" si="65"/>
        <v>46331</v>
      </c>
      <c r="DI6" s="53">
        <f t="shared" si="65"/>
        <v>46332</v>
      </c>
      <c r="DJ6" s="51">
        <f t="shared" si="41"/>
        <v>46335</v>
      </c>
      <c r="DK6" s="52">
        <f t="shared" ref="DK6:DN6" si="66">DJ6+1</f>
        <v>46336</v>
      </c>
      <c r="DL6" s="52">
        <f t="shared" si="66"/>
        <v>46337</v>
      </c>
      <c r="DM6" s="52">
        <f t="shared" si="66"/>
        <v>46338</v>
      </c>
      <c r="DN6" s="53">
        <f t="shared" si="66"/>
        <v>46339</v>
      </c>
      <c r="DO6" s="51">
        <f t="shared" si="43"/>
        <v>46342</v>
      </c>
      <c r="DP6" s="52">
        <f t="shared" ref="DP6:DS6" si="67">DO6+1</f>
        <v>46343</v>
      </c>
      <c r="DQ6" s="52">
        <f t="shared" si="67"/>
        <v>46344</v>
      </c>
      <c r="DR6" s="52">
        <f t="shared" si="67"/>
        <v>46345</v>
      </c>
      <c r="DS6" s="53">
        <f t="shared" si="67"/>
        <v>46346</v>
      </c>
      <c r="DT6" s="51">
        <f t="shared" si="45"/>
        <v>46349</v>
      </c>
      <c r="DU6" s="52">
        <f t="shared" ref="DU6:DX6" si="68">DT6+1</f>
        <v>46350</v>
      </c>
      <c r="DV6" s="52">
        <f t="shared" si="68"/>
        <v>46351</v>
      </c>
      <c r="DW6" s="52">
        <f t="shared" si="68"/>
        <v>46352</v>
      </c>
      <c r="DX6" s="53">
        <f t="shared" si="68"/>
        <v>46353</v>
      </c>
      <c r="DY6" s="51">
        <f t="shared" si="47"/>
        <v>46356</v>
      </c>
      <c r="DZ6" s="52">
        <f t="shared" ref="DZ6:EC6" si="69">DY6+1</f>
        <v>46357</v>
      </c>
      <c r="EA6" s="52">
        <f t="shared" si="69"/>
        <v>46358</v>
      </c>
      <c r="EB6" s="52">
        <f t="shared" si="69"/>
        <v>46359</v>
      </c>
      <c r="EC6" s="53">
        <f t="shared" si="69"/>
        <v>46360</v>
      </c>
      <c r="ED6" s="51">
        <f t="shared" si="49"/>
        <v>46363</v>
      </c>
      <c r="EE6" s="52">
        <f t="shared" ref="EE6:EH6" si="70">ED6+1</f>
        <v>46364</v>
      </c>
      <c r="EF6" s="52">
        <f t="shared" si="70"/>
        <v>46365</v>
      </c>
      <c r="EG6" s="52">
        <f t="shared" si="70"/>
        <v>46366</v>
      </c>
      <c r="EH6" s="53">
        <f t="shared" si="70"/>
        <v>46367</v>
      </c>
      <c r="EI6" s="51">
        <f t="shared" si="51"/>
        <v>46370</v>
      </c>
      <c r="EJ6" s="52">
        <f t="shared" ref="EJ6:EM6" si="71">EI6+1</f>
        <v>46371</v>
      </c>
      <c r="EK6" s="52">
        <f t="shared" si="71"/>
        <v>46372</v>
      </c>
      <c r="EL6" s="52">
        <f t="shared" si="71"/>
        <v>46373</v>
      </c>
      <c r="EM6" s="53">
        <f t="shared" si="71"/>
        <v>46374</v>
      </c>
      <c r="EN6" s="51">
        <f t="shared" si="53"/>
        <v>46377</v>
      </c>
      <c r="EO6" s="52">
        <f t="shared" ref="EO6:ER6" si="72">EN6+1</f>
        <v>46378</v>
      </c>
      <c r="EP6" s="52">
        <f t="shared" si="72"/>
        <v>46379</v>
      </c>
      <c r="EQ6" s="52">
        <f t="shared" si="72"/>
        <v>46380</v>
      </c>
      <c r="ER6" s="53">
        <f t="shared" si="72"/>
        <v>46381</v>
      </c>
      <c r="ES6" s="51">
        <f t="shared" si="55"/>
        <v>46384</v>
      </c>
      <c r="ET6" s="52">
        <f t="shared" ref="ET6:EW6" si="73">ES6+1</f>
        <v>46385</v>
      </c>
      <c r="EU6" s="52">
        <f t="shared" si="73"/>
        <v>46386</v>
      </c>
      <c r="EV6" s="52">
        <f t="shared" si="73"/>
        <v>46387</v>
      </c>
      <c r="EW6" s="53">
        <f t="shared" si="73"/>
        <v>46388</v>
      </c>
      <c r="EX6" s="51">
        <f t="shared" si="57"/>
        <v>46391</v>
      </c>
      <c r="EY6" s="52">
        <f t="shared" si="58"/>
        <v>46392</v>
      </c>
      <c r="EZ6" s="52">
        <f t="shared" si="29"/>
        <v>46393</v>
      </c>
      <c r="FA6" s="52">
        <f t="shared" si="29"/>
        <v>46394</v>
      </c>
      <c r="FB6" s="53">
        <f t="shared" si="29"/>
        <v>3</v>
      </c>
    </row>
    <row r="7" spans="1:158" ht="18" customHeight="1" outlineLevel="2">
      <c r="A7" s="26"/>
      <c r="B7" s="34"/>
      <c r="C7" s="34"/>
      <c r="D7" s="41" t="s">
        <v>56</v>
      </c>
      <c r="E7" s="42"/>
      <c r="F7" s="43"/>
      <c r="G7" s="60" t="s">
        <v>18</v>
      </c>
      <c r="H7" s="71"/>
      <c r="I7" s="71"/>
      <c r="J7" s="72"/>
      <c r="K7" s="73"/>
      <c r="L7" s="74"/>
      <c r="M7" s="46">
        <v>46204</v>
      </c>
      <c r="N7" s="47">
        <v>46210</v>
      </c>
      <c r="O7" s="14">
        <f>5/132/5</f>
        <v>7.575757575757576E-3</v>
      </c>
      <c r="P7" s="14"/>
      <c r="Q7" s="15"/>
      <c r="R7" s="14"/>
      <c r="S7" s="51">
        <f t="shared" si="30"/>
        <v>46202</v>
      </c>
      <c r="T7" s="52">
        <f t="shared" ref="T7:W7" si="74">S7+1</f>
        <v>46203</v>
      </c>
      <c r="U7" s="52">
        <f t="shared" si="74"/>
        <v>46204</v>
      </c>
      <c r="V7" s="52">
        <f t="shared" si="74"/>
        <v>46205</v>
      </c>
      <c r="W7" s="53">
        <f t="shared" si="74"/>
        <v>46206</v>
      </c>
      <c r="X7" s="51">
        <v>46209</v>
      </c>
      <c r="Y7" s="52">
        <v>46210</v>
      </c>
      <c r="Z7" s="52">
        <v>46211</v>
      </c>
      <c r="AA7" s="52">
        <v>46212</v>
      </c>
      <c r="AB7" s="53">
        <v>46213</v>
      </c>
      <c r="AC7" s="51">
        <v>46216</v>
      </c>
      <c r="AD7" s="52">
        <v>46217</v>
      </c>
      <c r="AE7" s="52">
        <v>46218</v>
      </c>
      <c r="AF7" s="52">
        <v>46219</v>
      </c>
      <c r="AG7" s="53">
        <v>46220</v>
      </c>
      <c r="AH7" s="51">
        <v>46223</v>
      </c>
      <c r="AI7" s="52">
        <v>46224</v>
      </c>
      <c r="AJ7" s="52">
        <v>46225</v>
      </c>
      <c r="AK7" s="52">
        <v>46226</v>
      </c>
      <c r="AL7" s="53">
        <v>46227</v>
      </c>
      <c r="AM7" s="51">
        <v>46230</v>
      </c>
      <c r="AN7" s="52">
        <v>46231</v>
      </c>
      <c r="AO7" s="52">
        <v>46232</v>
      </c>
      <c r="AP7" s="52">
        <v>46233</v>
      </c>
      <c r="AQ7" s="53">
        <v>46234</v>
      </c>
      <c r="AR7" s="51">
        <v>46237</v>
      </c>
      <c r="AS7" s="52">
        <v>46238</v>
      </c>
      <c r="AT7" s="52">
        <v>46239</v>
      </c>
      <c r="AU7" s="52">
        <v>46240</v>
      </c>
      <c r="AV7" s="53">
        <v>46241</v>
      </c>
      <c r="AW7" s="51">
        <v>46244</v>
      </c>
      <c r="AX7" s="52">
        <v>46245</v>
      </c>
      <c r="AY7" s="52">
        <v>46246</v>
      </c>
      <c r="AZ7" s="52">
        <v>46247</v>
      </c>
      <c r="BA7" s="53">
        <v>46248</v>
      </c>
      <c r="BB7" s="51">
        <v>46251</v>
      </c>
      <c r="BC7" s="52">
        <v>46252</v>
      </c>
      <c r="BD7" s="52">
        <v>46253</v>
      </c>
      <c r="BE7" s="52">
        <v>46254</v>
      </c>
      <c r="BF7" s="53">
        <v>46255</v>
      </c>
      <c r="BG7" s="51">
        <v>46258</v>
      </c>
      <c r="BH7" s="52">
        <v>46259</v>
      </c>
      <c r="BI7" s="52">
        <v>46260</v>
      </c>
      <c r="BJ7" s="52">
        <v>46261</v>
      </c>
      <c r="BK7" s="53">
        <v>46262</v>
      </c>
      <c r="BL7" s="51">
        <v>46265</v>
      </c>
      <c r="BM7" s="52">
        <v>46266</v>
      </c>
      <c r="BN7" s="52">
        <v>46267</v>
      </c>
      <c r="BO7" s="52">
        <v>46268</v>
      </c>
      <c r="BP7" s="53">
        <v>46269</v>
      </c>
      <c r="BQ7" s="51">
        <v>46272</v>
      </c>
      <c r="BR7" s="52">
        <v>46273</v>
      </c>
      <c r="BS7" s="52">
        <v>46274</v>
      </c>
      <c r="BT7" s="52">
        <v>46275</v>
      </c>
      <c r="BU7" s="53">
        <v>46276</v>
      </c>
      <c r="BV7" s="51">
        <v>46279</v>
      </c>
      <c r="BW7" s="52">
        <v>46280</v>
      </c>
      <c r="BX7" s="52">
        <v>46281</v>
      </c>
      <c r="BY7" s="52">
        <v>46282</v>
      </c>
      <c r="BZ7" s="53">
        <v>46283</v>
      </c>
      <c r="CA7" s="51">
        <v>46286</v>
      </c>
      <c r="CB7" s="52">
        <v>46287</v>
      </c>
      <c r="CC7" s="52">
        <v>46288</v>
      </c>
      <c r="CD7" s="52">
        <v>46289</v>
      </c>
      <c r="CE7" s="53">
        <v>46290</v>
      </c>
      <c r="CF7" s="51">
        <v>46293</v>
      </c>
      <c r="CG7" s="52">
        <v>46294</v>
      </c>
      <c r="CH7" s="52">
        <v>46295</v>
      </c>
      <c r="CI7" s="52">
        <v>46296</v>
      </c>
      <c r="CJ7" s="53">
        <v>46297</v>
      </c>
      <c r="CK7" s="51">
        <f t="shared" si="32"/>
        <v>46300</v>
      </c>
      <c r="CL7" s="52">
        <f t="shared" ref="CL7:CO7" si="75">CK7+1</f>
        <v>46301</v>
      </c>
      <c r="CM7" s="52">
        <f t="shared" si="75"/>
        <v>46302</v>
      </c>
      <c r="CN7" s="52">
        <f t="shared" si="75"/>
        <v>46303</v>
      </c>
      <c r="CO7" s="53">
        <f t="shared" si="75"/>
        <v>46304</v>
      </c>
      <c r="CP7" s="51">
        <f t="shared" si="61"/>
        <v>46307</v>
      </c>
      <c r="CQ7" s="52">
        <f t="shared" ref="CQ7:CT7" si="76">CP7+1</f>
        <v>46308</v>
      </c>
      <c r="CR7" s="52">
        <f t="shared" si="76"/>
        <v>46309</v>
      </c>
      <c r="CS7" s="52">
        <f t="shared" si="76"/>
        <v>46310</v>
      </c>
      <c r="CT7" s="53">
        <f t="shared" si="76"/>
        <v>46311</v>
      </c>
      <c r="CU7" s="51">
        <f t="shared" si="35"/>
        <v>46314</v>
      </c>
      <c r="CV7" s="52">
        <f t="shared" ref="CV7:CY7" si="77">CU7+1</f>
        <v>46315</v>
      </c>
      <c r="CW7" s="52">
        <f t="shared" si="77"/>
        <v>46316</v>
      </c>
      <c r="CX7" s="52">
        <f t="shared" si="77"/>
        <v>46317</v>
      </c>
      <c r="CY7" s="53">
        <f t="shared" si="77"/>
        <v>46318</v>
      </c>
      <c r="CZ7" s="51">
        <f t="shared" si="37"/>
        <v>46321</v>
      </c>
      <c r="DA7" s="52">
        <f t="shared" ref="DA7:DD7" si="78">CZ7+1</f>
        <v>46322</v>
      </c>
      <c r="DB7" s="52">
        <f t="shared" si="78"/>
        <v>46323</v>
      </c>
      <c r="DC7" s="52">
        <f t="shared" si="78"/>
        <v>46324</v>
      </c>
      <c r="DD7" s="53">
        <f t="shared" si="78"/>
        <v>46325</v>
      </c>
      <c r="DE7" s="51">
        <f t="shared" si="39"/>
        <v>46328</v>
      </c>
      <c r="DF7" s="52">
        <f t="shared" ref="DF7:DI7" si="79">DE7+1</f>
        <v>46329</v>
      </c>
      <c r="DG7" s="52">
        <f t="shared" si="79"/>
        <v>46330</v>
      </c>
      <c r="DH7" s="52">
        <f t="shared" si="79"/>
        <v>46331</v>
      </c>
      <c r="DI7" s="53">
        <f t="shared" si="79"/>
        <v>46332</v>
      </c>
      <c r="DJ7" s="51">
        <f t="shared" si="41"/>
        <v>46335</v>
      </c>
      <c r="DK7" s="52">
        <f t="shared" ref="DK7:DN7" si="80">DJ7+1</f>
        <v>46336</v>
      </c>
      <c r="DL7" s="52">
        <f t="shared" si="80"/>
        <v>46337</v>
      </c>
      <c r="DM7" s="52">
        <f t="shared" si="80"/>
        <v>46338</v>
      </c>
      <c r="DN7" s="53">
        <f t="shared" si="80"/>
        <v>46339</v>
      </c>
      <c r="DO7" s="51">
        <f t="shared" si="43"/>
        <v>46342</v>
      </c>
      <c r="DP7" s="52">
        <f t="shared" ref="DP7:DS7" si="81">DO7+1</f>
        <v>46343</v>
      </c>
      <c r="DQ7" s="52">
        <f t="shared" si="81"/>
        <v>46344</v>
      </c>
      <c r="DR7" s="52">
        <f t="shared" si="81"/>
        <v>46345</v>
      </c>
      <c r="DS7" s="53">
        <f t="shared" si="81"/>
        <v>46346</v>
      </c>
      <c r="DT7" s="51">
        <f t="shared" si="45"/>
        <v>46349</v>
      </c>
      <c r="DU7" s="52">
        <f t="shared" ref="DU7:DX7" si="82">DT7+1</f>
        <v>46350</v>
      </c>
      <c r="DV7" s="52">
        <f t="shared" si="82"/>
        <v>46351</v>
      </c>
      <c r="DW7" s="52">
        <f t="shared" si="82"/>
        <v>46352</v>
      </c>
      <c r="DX7" s="53">
        <f t="shared" si="82"/>
        <v>46353</v>
      </c>
      <c r="DY7" s="51">
        <f t="shared" si="47"/>
        <v>46356</v>
      </c>
      <c r="DZ7" s="52">
        <f t="shared" ref="DZ7:EC7" si="83">DY7+1</f>
        <v>46357</v>
      </c>
      <c r="EA7" s="52">
        <f t="shared" si="83"/>
        <v>46358</v>
      </c>
      <c r="EB7" s="52">
        <f t="shared" si="83"/>
        <v>46359</v>
      </c>
      <c r="EC7" s="53">
        <f t="shared" si="83"/>
        <v>46360</v>
      </c>
      <c r="ED7" s="51">
        <f t="shared" si="49"/>
        <v>46363</v>
      </c>
      <c r="EE7" s="52">
        <f t="shared" ref="EE7:EH7" si="84">ED7+1</f>
        <v>46364</v>
      </c>
      <c r="EF7" s="52">
        <f t="shared" si="84"/>
        <v>46365</v>
      </c>
      <c r="EG7" s="52">
        <f t="shared" si="84"/>
        <v>46366</v>
      </c>
      <c r="EH7" s="53">
        <f t="shared" si="84"/>
        <v>46367</v>
      </c>
      <c r="EI7" s="51">
        <f t="shared" si="51"/>
        <v>46370</v>
      </c>
      <c r="EJ7" s="52">
        <f t="shared" ref="EJ7:EM7" si="85">EI7+1</f>
        <v>46371</v>
      </c>
      <c r="EK7" s="52">
        <f t="shared" si="85"/>
        <v>46372</v>
      </c>
      <c r="EL7" s="52">
        <f t="shared" si="85"/>
        <v>46373</v>
      </c>
      <c r="EM7" s="53">
        <f t="shared" si="85"/>
        <v>46374</v>
      </c>
      <c r="EN7" s="51">
        <f t="shared" si="53"/>
        <v>46377</v>
      </c>
      <c r="EO7" s="52">
        <f t="shared" ref="EO7:ER7" si="86">EN7+1</f>
        <v>46378</v>
      </c>
      <c r="EP7" s="52">
        <f t="shared" si="86"/>
        <v>46379</v>
      </c>
      <c r="EQ7" s="52">
        <f t="shared" si="86"/>
        <v>46380</v>
      </c>
      <c r="ER7" s="53">
        <f t="shared" si="86"/>
        <v>46381</v>
      </c>
      <c r="ES7" s="51">
        <f t="shared" si="55"/>
        <v>46384</v>
      </c>
      <c r="ET7" s="52">
        <f t="shared" ref="ET7:EW7" si="87">ES7+1</f>
        <v>46385</v>
      </c>
      <c r="EU7" s="52">
        <f t="shared" si="87"/>
        <v>46386</v>
      </c>
      <c r="EV7" s="52">
        <f t="shared" si="87"/>
        <v>46387</v>
      </c>
      <c r="EW7" s="53">
        <f t="shared" si="87"/>
        <v>46388</v>
      </c>
      <c r="EX7" s="51">
        <f t="shared" si="57"/>
        <v>46391</v>
      </c>
      <c r="EY7" s="52">
        <f t="shared" si="58"/>
        <v>46392</v>
      </c>
      <c r="EZ7" s="52">
        <f t="shared" si="29"/>
        <v>46393</v>
      </c>
      <c r="FA7" s="52">
        <f t="shared" si="29"/>
        <v>46394</v>
      </c>
      <c r="FB7" s="53">
        <f t="shared" si="29"/>
        <v>46395</v>
      </c>
    </row>
    <row r="8" spans="1:158" ht="17.25" customHeight="1" outlineLevel="1">
      <c r="A8" s="26"/>
      <c r="B8" s="34"/>
      <c r="C8" s="35" t="s">
        <v>74</v>
      </c>
      <c r="D8" s="36"/>
      <c r="E8" s="37"/>
      <c r="F8" s="38"/>
      <c r="G8" s="59"/>
      <c r="H8" s="67"/>
      <c r="I8" s="67"/>
      <c r="J8" s="68"/>
      <c r="K8" s="69"/>
      <c r="L8" s="70"/>
      <c r="M8" s="39">
        <f>MIN(M9:M11)</f>
        <v>46204</v>
      </c>
      <c r="N8" s="40">
        <f>MAX(N9:N11)</f>
        <v>46210</v>
      </c>
      <c r="O8" s="24">
        <f>SUM(O9:O11)</f>
        <v>2.2727272727272728E-2</v>
      </c>
      <c r="P8" s="24"/>
      <c r="Q8" s="24"/>
      <c r="R8" s="24"/>
      <c r="S8" s="51">
        <f t="shared" si="30"/>
        <v>46202</v>
      </c>
      <c r="T8" s="52">
        <f t="shared" ref="T8:W8" si="88">S8+1</f>
        <v>46203</v>
      </c>
      <c r="U8" s="52">
        <f t="shared" si="88"/>
        <v>46204</v>
      </c>
      <c r="V8" s="52">
        <f t="shared" si="88"/>
        <v>46205</v>
      </c>
      <c r="W8" s="53">
        <f t="shared" si="88"/>
        <v>46206</v>
      </c>
      <c r="X8" s="51">
        <v>46209</v>
      </c>
      <c r="Y8" s="52">
        <v>46210</v>
      </c>
      <c r="Z8" s="52">
        <v>46211</v>
      </c>
      <c r="AA8" s="52">
        <v>46212</v>
      </c>
      <c r="AB8" s="53">
        <v>46213</v>
      </c>
      <c r="AC8" s="51">
        <v>46216</v>
      </c>
      <c r="AD8" s="52">
        <v>46217</v>
      </c>
      <c r="AE8" s="52">
        <v>46218</v>
      </c>
      <c r="AF8" s="52">
        <v>46219</v>
      </c>
      <c r="AG8" s="53">
        <v>46220</v>
      </c>
      <c r="AH8" s="51">
        <v>46223</v>
      </c>
      <c r="AI8" s="52">
        <v>46224</v>
      </c>
      <c r="AJ8" s="52">
        <v>46225</v>
      </c>
      <c r="AK8" s="52">
        <v>46226</v>
      </c>
      <c r="AL8" s="53">
        <v>46227</v>
      </c>
      <c r="AM8" s="51">
        <v>46230</v>
      </c>
      <c r="AN8" s="52">
        <v>46231</v>
      </c>
      <c r="AO8" s="52">
        <v>46232</v>
      </c>
      <c r="AP8" s="52">
        <v>46233</v>
      </c>
      <c r="AQ8" s="53">
        <v>46234</v>
      </c>
      <c r="AR8" s="51">
        <v>46237</v>
      </c>
      <c r="AS8" s="52">
        <v>46238</v>
      </c>
      <c r="AT8" s="52">
        <v>46239</v>
      </c>
      <c r="AU8" s="52">
        <v>46240</v>
      </c>
      <c r="AV8" s="53">
        <v>46241</v>
      </c>
      <c r="AW8" s="51">
        <v>46244</v>
      </c>
      <c r="AX8" s="52">
        <v>46245</v>
      </c>
      <c r="AY8" s="52">
        <v>46246</v>
      </c>
      <c r="AZ8" s="52">
        <v>46247</v>
      </c>
      <c r="BA8" s="53">
        <v>46248</v>
      </c>
      <c r="BB8" s="51">
        <v>46251</v>
      </c>
      <c r="BC8" s="52">
        <v>46252</v>
      </c>
      <c r="BD8" s="52">
        <v>46253</v>
      </c>
      <c r="BE8" s="52">
        <v>46254</v>
      </c>
      <c r="BF8" s="53">
        <v>46255</v>
      </c>
      <c r="BG8" s="51">
        <v>46258</v>
      </c>
      <c r="BH8" s="52">
        <v>46259</v>
      </c>
      <c r="BI8" s="52">
        <v>46260</v>
      </c>
      <c r="BJ8" s="52">
        <v>46261</v>
      </c>
      <c r="BK8" s="53">
        <v>46262</v>
      </c>
      <c r="BL8" s="51">
        <v>46265</v>
      </c>
      <c r="BM8" s="52">
        <v>46266</v>
      </c>
      <c r="BN8" s="52">
        <v>46267</v>
      </c>
      <c r="BO8" s="52">
        <v>46268</v>
      </c>
      <c r="BP8" s="53">
        <v>46269</v>
      </c>
      <c r="BQ8" s="51">
        <v>46272</v>
      </c>
      <c r="BR8" s="52">
        <v>46273</v>
      </c>
      <c r="BS8" s="52">
        <v>46274</v>
      </c>
      <c r="BT8" s="52">
        <v>46275</v>
      </c>
      <c r="BU8" s="53">
        <v>46276</v>
      </c>
      <c r="BV8" s="51">
        <v>46279</v>
      </c>
      <c r="BW8" s="52">
        <v>46280</v>
      </c>
      <c r="BX8" s="52">
        <v>46281</v>
      </c>
      <c r="BY8" s="52">
        <v>46282</v>
      </c>
      <c r="BZ8" s="53">
        <v>46283</v>
      </c>
      <c r="CA8" s="51">
        <v>46286</v>
      </c>
      <c r="CB8" s="52">
        <v>46287</v>
      </c>
      <c r="CC8" s="52">
        <v>46288</v>
      </c>
      <c r="CD8" s="52">
        <v>46289</v>
      </c>
      <c r="CE8" s="53">
        <v>46290</v>
      </c>
      <c r="CF8" s="51">
        <v>46293</v>
      </c>
      <c r="CG8" s="52">
        <v>46294</v>
      </c>
      <c r="CH8" s="52">
        <v>46295</v>
      </c>
      <c r="CI8" s="52">
        <v>46296</v>
      </c>
      <c r="CJ8" s="53">
        <v>46297</v>
      </c>
      <c r="CK8" s="51">
        <f t="shared" si="32"/>
        <v>46300</v>
      </c>
      <c r="CL8" s="52">
        <f t="shared" ref="CL8:CO8" si="89">CK8+1</f>
        <v>46301</v>
      </c>
      <c r="CM8" s="52">
        <f t="shared" si="89"/>
        <v>46302</v>
      </c>
      <c r="CN8" s="52">
        <f t="shared" si="89"/>
        <v>46303</v>
      </c>
      <c r="CO8" s="53">
        <f t="shared" si="89"/>
        <v>46304</v>
      </c>
      <c r="CP8" s="51">
        <f t="shared" si="61"/>
        <v>46307</v>
      </c>
      <c r="CQ8" s="52">
        <f t="shared" ref="CQ8:CT8" si="90">CP8+1</f>
        <v>46308</v>
      </c>
      <c r="CR8" s="52">
        <f t="shared" si="90"/>
        <v>46309</v>
      </c>
      <c r="CS8" s="52">
        <f t="shared" si="90"/>
        <v>46310</v>
      </c>
      <c r="CT8" s="53">
        <f t="shared" si="90"/>
        <v>46311</v>
      </c>
      <c r="CU8" s="51">
        <f t="shared" si="35"/>
        <v>46314</v>
      </c>
      <c r="CV8" s="52">
        <f t="shared" ref="CV8:CY8" si="91">CU8+1</f>
        <v>46315</v>
      </c>
      <c r="CW8" s="52">
        <f t="shared" si="91"/>
        <v>46316</v>
      </c>
      <c r="CX8" s="52">
        <f t="shared" si="91"/>
        <v>46317</v>
      </c>
      <c r="CY8" s="53">
        <f t="shared" si="91"/>
        <v>46318</v>
      </c>
      <c r="CZ8" s="51">
        <f t="shared" si="37"/>
        <v>46321</v>
      </c>
      <c r="DA8" s="52">
        <f t="shared" ref="DA8:DD8" si="92">CZ8+1</f>
        <v>46322</v>
      </c>
      <c r="DB8" s="52">
        <f t="shared" si="92"/>
        <v>46323</v>
      </c>
      <c r="DC8" s="52">
        <f t="shared" si="92"/>
        <v>46324</v>
      </c>
      <c r="DD8" s="53">
        <f t="shared" si="92"/>
        <v>46325</v>
      </c>
      <c r="DE8" s="51">
        <f t="shared" si="39"/>
        <v>46328</v>
      </c>
      <c r="DF8" s="52">
        <f t="shared" ref="DF8:DI8" si="93">DE8+1</f>
        <v>46329</v>
      </c>
      <c r="DG8" s="52">
        <f t="shared" si="93"/>
        <v>46330</v>
      </c>
      <c r="DH8" s="52">
        <f t="shared" si="93"/>
        <v>46331</v>
      </c>
      <c r="DI8" s="53">
        <f t="shared" si="93"/>
        <v>46332</v>
      </c>
      <c r="DJ8" s="51">
        <f t="shared" si="41"/>
        <v>46335</v>
      </c>
      <c r="DK8" s="52">
        <f t="shared" ref="DK8:DN8" si="94">DJ8+1</f>
        <v>46336</v>
      </c>
      <c r="DL8" s="52">
        <f t="shared" si="94"/>
        <v>46337</v>
      </c>
      <c r="DM8" s="52">
        <f t="shared" si="94"/>
        <v>46338</v>
      </c>
      <c r="DN8" s="53">
        <f t="shared" si="94"/>
        <v>46339</v>
      </c>
      <c r="DO8" s="51">
        <f t="shared" si="43"/>
        <v>46342</v>
      </c>
      <c r="DP8" s="52">
        <f t="shared" ref="DP8:DS8" si="95">DO8+1</f>
        <v>46343</v>
      </c>
      <c r="DQ8" s="52">
        <f t="shared" si="95"/>
        <v>46344</v>
      </c>
      <c r="DR8" s="52">
        <f t="shared" si="95"/>
        <v>46345</v>
      </c>
      <c r="DS8" s="53">
        <f t="shared" si="95"/>
        <v>46346</v>
      </c>
      <c r="DT8" s="51">
        <f t="shared" si="45"/>
        <v>46349</v>
      </c>
      <c r="DU8" s="52">
        <f t="shared" ref="DU8:DX8" si="96">DT8+1</f>
        <v>46350</v>
      </c>
      <c r="DV8" s="52">
        <f t="shared" si="96"/>
        <v>46351</v>
      </c>
      <c r="DW8" s="52">
        <f t="shared" si="96"/>
        <v>46352</v>
      </c>
      <c r="DX8" s="53">
        <f t="shared" si="96"/>
        <v>46353</v>
      </c>
      <c r="DY8" s="51">
        <f t="shared" si="47"/>
        <v>46356</v>
      </c>
      <c r="DZ8" s="52">
        <f t="shared" ref="DZ8:EC8" si="97">DY8+1</f>
        <v>46357</v>
      </c>
      <c r="EA8" s="52">
        <f t="shared" si="97"/>
        <v>46358</v>
      </c>
      <c r="EB8" s="52">
        <f t="shared" si="97"/>
        <v>46359</v>
      </c>
      <c r="EC8" s="53">
        <f t="shared" si="97"/>
        <v>46360</v>
      </c>
      <c r="ED8" s="51">
        <f t="shared" si="49"/>
        <v>46363</v>
      </c>
      <c r="EE8" s="52">
        <f t="shared" ref="EE8:EH8" si="98">ED8+1</f>
        <v>46364</v>
      </c>
      <c r="EF8" s="52">
        <f t="shared" si="98"/>
        <v>46365</v>
      </c>
      <c r="EG8" s="52">
        <f t="shared" si="98"/>
        <v>46366</v>
      </c>
      <c r="EH8" s="53">
        <f t="shared" si="98"/>
        <v>46367</v>
      </c>
      <c r="EI8" s="51">
        <f t="shared" si="51"/>
        <v>46370</v>
      </c>
      <c r="EJ8" s="52">
        <f t="shared" ref="EJ8:EM8" si="99">EI8+1</f>
        <v>46371</v>
      </c>
      <c r="EK8" s="52">
        <f t="shared" si="99"/>
        <v>46372</v>
      </c>
      <c r="EL8" s="52">
        <f t="shared" si="99"/>
        <v>46373</v>
      </c>
      <c r="EM8" s="53">
        <f t="shared" si="99"/>
        <v>46374</v>
      </c>
      <c r="EN8" s="51">
        <f t="shared" si="53"/>
        <v>46377</v>
      </c>
      <c r="EO8" s="52">
        <f t="shared" ref="EO8:ER8" si="100">EN8+1</f>
        <v>46378</v>
      </c>
      <c r="EP8" s="52">
        <f t="shared" si="100"/>
        <v>46379</v>
      </c>
      <c r="EQ8" s="52">
        <f t="shared" si="100"/>
        <v>46380</v>
      </c>
      <c r="ER8" s="53">
        <f t="shared" si="100"/>
        <v>46381</v>
      </c>
      <c r="ES8" s="51">
        <f t="shared" si="55"/>
        <v>46384</v>
      </c>
      <c r="ET8" s="52">
        <f t="shared" ref="ET8:EW8" si="101">ES8+1</f>
        <v>46385</v>
      </c>
      <c r="EU8" s="52">
        <f t="shared" si="101"/>
        <v>46386</v>
      </c>
      <c r="EV8" s="52">
        <f t="shared" si="101"/>
        <v>46387</v>
      </c>
      <c r="EW8" s="53">
        <f t="shared" si="101"/>
        <v>46388</v>
      </c>
      <c r="EX8" s="51">
        <f t="shared" si="57"/>
        <v>46391</v>
      </c>
      <c r="EY8" s="52">
        <f t="shared" si="58"/>
        <v>46392</v>
      </c>
      <c r="EZ8" s="52">
        <f t="shared" si="29"/>
        <v>46393</v>
      </c>
      <c r="FA8" s="52">
        <f t="shared" si="29"/>
        <v>46394</v>
      </c>
      <c r="FB8" s="53">
        <f t="shared" si="29"/>
        <v>46395</v>
      </c>
    </row>
    <row r="9" spans="1:158" ht="18" customHeight="1" outlineLevel="2">
      <c r="A9" s="26"/>
      <c r="B9" s="34"/>
      <c r="C9" s="34"/>
      <c r="D9" s="41" t="s">
        <v>72</v>
      </c>
      <c r="E9" s="42"/>
      <c r="F9" s="43"/>
      <c r="G9" s="60" t="s">
        <v>18</v>
      </c>
      <c r="H9" s="71"/>
      <c r="I9" s="71"/>
      <c r="J9" s="72"/>
      <c r="K9" s="73"/>
      <c r="L9" s="74"/>
      <c r="M9" s="46">
        <v>46204</v>
      </c>
      <c r="N9" s="47">
        <v>46210</v>
      </c>
      <c r="O9" s="14">
        <f>5/132/5</f>
        <v>7.575757575757576E-3</v>
      </c>
      <c r="P9" s="14"/>
      <c r="Q9" s="15"/>
      <c r="R9" s="14"/>
      <c r="S9" s="51">
        <f t="shared" si="30"/>
        <v>46202</v>
      </c>
      <c r="T9" s="52">
        <f t="shared" ref="T9:W9" si="102">S9+1</f>
        <v>46203</v>
      </c>
      <c r="U9" s="52">
        <f t="shared" si="102"/>
        <v>46204</v>
      </c>
      <c r="V9" s="52">
        <f t="shared" si="102"/>
        <v>46205</v>
      </c>
      <c r="W9" s="53">
        <f t="shared" si="102"/>
        <v>46206</v>
      </c>
      <c r="X9" s="51">
        <v>46209</v>
      </c>
      <c r="Y9" s="52">
        <v>46210</v>
      </c>
      <c r="Z9" s="52">
        <v>46211</v>
      </c>
      <c r="AA9" s="52">
        <v>46212</v>
      </c>
      <c r="AB9" s="53">
        <v>46213</v>
      </c>
      <c r="AC9" s="51">
        <v>46216</v>
      </c>
      <c r="AD9" s="52">
        <v>46217</v>
      </c>
      <c r="AE9" s="52">
        <v>46218</v>
      </c>
      <c r="AF9" s="52">
        <v>46219</v>
      </c>
      <c r="AG9" s="53">
        <v>46220</v>
      </c>
      <c r="AH9" s="51">
        <v>46223</v>
      </c>
      <c r="AI9" s="52">
        <v>46224</v>
      </c>
      <c r="AJ9" s="52">
        <v>46225</v>
      </c>
      <c r="AK9" s="52">
        <v>46226</v>
      </c>
      <c r="AL9" s="53">
        <v>46227</v>
      </c>
      <c r="AM9" s="51">
        <v>46230</v>
      </c>
      <c r="AN9" s="52">
        <v>46231</v>
      </c>
      <c r="AO9" s="52">
        <v>46232</v>
      </c>
      <c r="AP9" s="52">
        <v>46233</v>
      </c>
      <c r="AQ9" s="53">
        <v>46234</v>
      </c>
      <c r="AR9" s="51">
        <v>46237</v>
      </c>
      <c r="AS9" s="52">
        <v>46238</v>
      </c>
      <c r="AT9" s="52">
        <v>46239</v>
      </c>
      <c r="AU9" s="52">
        <v>46240</v>
      </c>
      <c r="AV9" s="53">
        <v>46241</v>
      </c>
      <c r="AW9" s="51">
        <v>46244</v>
      </c>
      <c r="AX9" s="52">
        <v>46245</v>
      </c>
      <c r="AY9" s="52">
        <v>46246</v>
      </c>
      <c r="AZ9" s="52">
        <v>46247</v>
      </c>
      <c r="BA9" s="53">
        <v>46248</v>
      </c>
      <c r="BB9" s="51">
        <v>46251</v>
      </c>
      <c r="BC9" s="52">
        <v>46252</v>
      </c>
      <c r="BD9" s="52">
        <v>46253</v>
      </c>
      <c r="BE9" s="52">
        <v>46254</v>
      </c>
      <c r="BF9" s="53">
        <v>46255</v>
      </c>
      <c r="BG9" s="51">
        <v>46258</v>
      </c>
      <c r="BH9" s="52">
        <v>46259</v>
      </c>
      <c r="BI9" s="52">
        <v>46260</v>
      </c>
      <c r="BJ9" s="52">
        <v>46261</v>
      </c>
      <c r="BK9" s="53">
        <v>46262</v>
      </c>
      <c r="BL9" s="51">
        <v>46265</v>
      </c>
      <c r="BM9" s="52">
        <v>46266</v>
      </c>
      <c r="BN9" s="52">
        <v>46267</v>
      </c>
      <c r="BO9" s="52">
        <v>46268</v>
      </c>
      <c r="BP9" s="53">
        <v>46269</v>
      </c>
      <c r="BQ9" s="51">
        <v>46272</v>
      </c>
      <c r="BR9" s="52">
        <v>46273</v>
      </c>
      <c r="BS9" s="52">
        <v>46274</v>
      </c>
      <c r="BT9" s="52">
        <v>46275</v>
      </c>
      <c r="BU9" s="53">
        <v>46276</v>
      </c>
      <c r="BV9" s="51">
        <v>46279</v>
      </c>
      <c r="BW9" s="52">
        <v>46280</v>
      </c>
      <c r="BX9" s="52">
        <v>46281</v>
      </c>
      <c r="BY9" s="52">
        <v>46282</v>
      </c>
      <c r="BZ9" s="53">
        <v>46283</v>
      </c>
      <c r="CA9" s="51">
        <v>46286</v>
      </c>
      <c r="CB9" s="52">
        <v>46287</v>
      </c>
      <c r="CC9" s="52">
        <v>46288</v>
      </c>
      <c r="CD9" s="52">
        <v>46289</v>
      </c>
      <c r="CE9" s="53">
        <v>46290</v>
      </c>
      <c r="CF9" s="51">
        <v>46293</v>
      </c>
      <c r="CG9" s="52">
        <v>46294</v>
      </c>
      <c r="CH9" s="52">
        <v>46295</v>
      </c>
      <c r="CI9" s="52">
        <v>46296</v>
      </c>
      <c r="CJ9" s="53">
        <v>46297</v>
      </c>
      <c r="CK9" s="51">
        <f t="shared" si="32"/>
        <v>46300</v>
      </c>
      <c r="CL9" s="52">
        <f t="shared" ref="CL9:CO9" si="103">CK9+1</f>
        <v>46301</v>
      </c>
      <c r="CM9" s="52">
        <f t="shared" si="103"/>
        <v>46302</v>
      </c>
      <c r="CN9" s="52">
        <f t="shared" si="103"/>
        <v>46303</v>
      </c>
      <c r="CO9" s="53">
        <f t="shared" si="103"/>
        <v>46304</v>
      </c>
      <c r="CP9" s="51">
        <f t="shared" si="61"/>
        <v>46307</v>
      </c>
      <c r="CQ9" s="52">
        <f t="shared" ref="CQ9:CT9" si="104">CP9+1</f>
        <v>46308</v>
      </c>
      <c r="CR9" s="52">
        <f t="shared" si="104"/>
        <v>46309</v>
      </c>
      <c r="CS9" s="52">
        <f t="shared" si="104"/>
        <v>46310</v>
      </c>
      <c r="CT9" s="53">
        <f t="shared" si="104"/>
        <v>46311</v>
      </c>
      <c r="CU9" s="51">
        <f t="shared" si="35"/>
        <v>46314</v>
      </c>
      <c r="CV9" s="52">
        <f t="shared" ref="CV9:CY9" si="105">CU9+1</f>
        <v>46315</v>
      </c>
      <c r="CW9" s="52">
        <f t="shared" si="105"/>
        <v>46316</v>
      </c>
      <c r="CX9" s="52">
        <f t="shared" si="105"/>
        <v>46317</v>
      </c>
      <c r="CY9" s="53">
        <f t="shared" si="105"/>
        <v>46318</v>
      </c>
      <c r="CZ9" s="51">
        <f t="shared" si="37"/>
        <v>46321</v>
      </c>
      <c r="DA9" s="52">
        <f t="shared" ref="DA9:DD9" si="106">CZ9+1</f>
        <v>46322</v>
      </c>
      <c r="DB9" s="52">
        <f t="shared" si="106"/>
        <v>46323</v>
      </c>
      <c r="DC9" s="52">
        <f t="shared" si="106"/>
        <v>46324</v>
      </c>
      <c r="DD9" s="53">
        <f t="shared" si="106"/>
        <v>46325</v>
      </c>
      <c r="DE9" s="51">
        <f t="shared" si="39"/>
        <v>46328</v>
      </c>
      <c r="DF9" s="52">
        <f t="shared" ref="DF9:DI9" si="107">DE9+1</f>
        <v>46329</v>
      </c>
      <c r="DG9" s="52">
        <f t="shared" si="107"/>
        <v>46330</v>
      </c>
      <c r="DH9" s="52">
        <f t="shared" si="107"/>
        <v>46331</v>
      </c>
      <c r="DI9" s="53">
        <f t="shared" si="107"/>
        <v>46332</v>
      </c>
      <c r="DJ9" s="51">
        <f t="shared" si="41"/>
        <v>46335</v>
      </c>
      <c r="DK9" s="52">
        <f t="shared" ref="DK9:DN9" si="108">DJ9+1</f>
        <v>46336</v>
      </c>
      <c r="DL9" s="52">
        <f t="shared" si="108"/>
        <v>46337</v>
      </c>
      <c r="DM9" s="52">
        <f t="shared" si="108"/>
        <v>46338</v>
      </c>
      <c r="DN9" s="53">
        <f t="shared" si="108"/>
        <v>46339</v>
      </c>
      <c r="DO9" s="51">
        <f t="shared" si="43"/>
        <v>46342</v>
      </c>
      <c r="DP9" s="52">
        <f t="shared" ref="DP9:DS9" si="109">DO9+1</f>
        <v>46343</v>
      </c>
      <c r="DQ9" s="52">
        <f t="shared" si="109"/>
        <v>46344</v>
      </c>
      <c r="DR9" s="52">
        <f t="shared" si="109"/>
        <v>46345</v>
      </c>
      <c r="DS9" s="53">
        <f t="shared" si="109"/>
        <v>46346</v>
      </c>
      <c r="DT9" s="51">
        <f t="shared" si="45"/>
        <v>46349</v>
      </c>
      <c r="DU9" s="52">
        <f t="shared" ref="DU9:DX9" si="110">DT9+1</f>
        <v>46350</v>
      </c>
      <c r="DV9" s="52">
        <f t="shared" si="110"/>
        <v>46351</v>
      </c>
      <c r="DW9" s="52">
        <f t="shared" si="110"/>
        <v>46352</v>
      </c>
      <c r="DX9" s="53">
        <f t="shared" si="110"/>
        <v>46353</v>
      </c>
      <c r="DY9" s="51">
        <f t="shared" si="47"/>
        <v>46356</v>
      </c>
      <c r="DZ9" s="52">
        <f t="shared" ref="DZ9:EC9" si="111">DY9+1</f>
        <v>46357</v>
      </c>
      <c r="EA9" s="52">
        <f t="shared" si="111"/>
        <v>46358</v>
      </c>
      <c r="EB9" s="52">
        <f t="shared" si="111"/>
        <v>46359</v>
      </c>
      <c r="EC9" s="53">
        <f t="shared" si="111"/>
        <v>46360</v>
      </c>
      <c r="ED9" s="51">
        <f t="shared" si="49"/>
        <v>46363</v>
      </c>
      <c r="EE9" s="52">
        <f t="shared" ref="EE9:EH9" si="112">ED9+1</f>
        <v>46364</v>
      </c>
      <c r="EF9" s="52">
        <f t="shared" si="112"/>
        <v>46365</v>
      </c>
      <c r="EG9" s="52">
        <f t="shared" si="112"/>
        <v>46366</v>
      </c>
      <c r="EH9" s="53">
        <f t="shared" si="112"/>
        <v>46367</v>
      </c>
      <c r="EI9" s="51">
        <f t="shared" si="51"/>
        <v>46370</v>
      </c>
      <c r="EJ9" s="52">
        <f t="shared" ref="EJ9:EM9" si="113">EI9+1</f>
        <v>46371</v>
      </c>
      <c r="EK9" s="52">
        <f t="shared" si="113"/>
        <v>46372</v>
      </c>
      <c r="EL9" s="52">
        <f t="shared" si="113"/>
        <v>46373</v>
      </c>
      <c r="EM9" s="53">
        <f t="shared" si="113"/>
        <v>46374</v>
      </c>
      <c r="EN9" s="51">
        <f t="shared" si="53"/>
        <v>46377</v>
      </c>
      <c r="EO9" s="52">
        <f t="shared" ref="EO9:ER9" si="114">EN9+1</f>
        <v>46378</v>
      </c>
      <c r="EP9" s="52">
        <f t="shared" si="114"/>
        <v>46379</v>
      </c>
      <c r="EQ9" s="52">
        <f t="shared" si="114"/>
        <v>46380</v>
      </c>
      <c r="ER9" s="53">
        <f t="shared" si="114"/>
        <v>46381</v>
      </c>
      <c r="ES9" s="51">
        <f t="shared" si="55"/>
        <v>46384</v>
      </c>
      <c r="ET9" s="52">
        <f t="shared" ref="ET9:EW9" si="115">ES9+1</f>
        <v>46385</v>
      </c>
      <c r="EU9" s="52">
        <f t="shared" si="115"/>
        <v>46386</v>
      </c>
      <c r="EV9" s="52">
        <f t="shared" si="115"/>
        <v>46387</v>
      </c>
      <c r="EW9" s="53">
        <f t="shared" si="115"/>
        <v>46388</v>
      </c>
      <c r="EX9" s="51">
        <f t="shared" si="57"/>
        <v>46391</v>
      </c>
      <c r="EY9" s="52">
        <f t="shared" si="58"/>
        <v>46392</v>
      </c>
      <c r="EZ9" s="52">
        <f t="shared" si="29"/>
        <v>46393</v>
      </c>
      <c r="FA9" s="52">
        <f t="shared" si="29"/>
        <v>46394</v>
      </c>
      <c r="FB9" s="53">
        <f t="shared" si="29"/>
        <v>46395</v>
      </c>
    </row>
    <row r="10" spans="1:158" ht="18" customHeight="1" outlineLevel="2">
      <c r="A10" s="26"/>
      <c r="B10" s="34"/>
      <c r="C10" s="34"/>
      <c r="D10" s="41" t="s">
        <v>73</v>
      </c>
      <c r="E10" s="42"/>
      <c r="F10" s="43"/>
      <c r="G10" s="60" t="s">
        <v>18</v>
      </c>
      <c r="H10" s="71"/>
      <c r="I10" s="71"/>
      <c r="J10" s="72"/>
      <c r="K10" s="73"/>
      <c r="L10" s="74" t="s">
        <v>117</v>
      </c>
      <c r="M10" s="46">
        <v>46204</v>
      </c>
      <c r="N10" s="47">
        <v>46210</v>
      </c>
      <c r="O10" s="14">
        <f>5/132/5</f>
        <v>7.575757575757576E-3</v>
      </c>
      <c r="P10" s="14"/>
      <c r="Q10" s="15"/>
      <c r="R10" s="14"/>
      <c r="S10" s="51">
        <f t="shared" si="30"/>
        <v>46202</v>
      </c>
      <c r="T10" s="52">
        <f t="shared" ref="T10:W11" si="116">S10+1</f>
        <v>46203</v>
      </c>
      <c r="U10" s="52">
        <f t="shared" si="116"/>
        <v>46204</v>
      </c>
      <c r="V10" s="52">
        <f t="shared" si="116"/>
        <v>46205</v>
      </c>
      <c r="W10" s="53">
        <f t="shared" si="116"/>
        <v>46206</v>
      </c>
      <c r="X10" s="51">
        <v>46209</v>
      </c>
      <c r="Y10" s="52">
        <v>46210</v>
      </c>
      <c r="Z10" s="52">
        <v>46211</v>
      </c>
      <c r="AA10" s="52">
        <v>46212</v>
      </c>
      <c r="AB10" s="53">
        <v>46213</v>
      </c>
      <c r="AC10" s="51">
        <v>46216</v>
      </c>
      <c r="AD10" s="52">
        <v>46217</v>
      </c>
      <c r="AE10" s="52">
        <v>46218</v>
      </c>
      <c r="AF10" s="52">
        <v>46219</v>
      </c>
      <c r="AG10" s="53">
        <v>46220</v>
      </c>
      <c r="AH10" s="51">
        <v>46223</v>
      </c>
      <c r="AI10" s="52">
        <v>46224</v>
      </c>
      <c r="AJ10" s="52">
        <v>46225</v>
      </c>
      <c r="AK10" s="52">
        <v>46226</v>
      </c>
      <c r="AL10" s="53">
        <v>46227</v>
      </c>
      <c r="AM10" s="51">
        <v>46230</v>
      </c>
      <c r="AN10" s="52">
        <v>46231</v>
      </c>
      <c r="AO10" s="52">
        <v>46232</v>
      </c>
      <c r="AP10" s="52">
        <v>46233</v>
      </c>
      <c r="AQ10" s="53">
        <v>46234</v>
      </c>
      <c r="AR10" s="51">
        <v>46237</v>
      </c>
      <c r="AS10" s="52">
        <v>46238</v>
      </c>
      <c r="AT10" s="52">
        <v>46239</v>
      </c>
      <c r="AU10" s="52">
        <v>46240</v>
      </c>
      <c r="AV10" s="53">
        <v>46241</v>
      </c>
      <c r="AW10" s="51">
        <v>46244</v>
      </c>
      <c r="AX10" s="52">
        <v>46245</v>
      </c>
      <c r="AY10" s="52">
        <v>46246</v>
      </c>
      <c r="AZ10" s="52">
        <v>46247</v>
      </c>
      <c r="BA10" s="53">
        <v>46248</v>
      </c>
      <c r="BB10" s="51">
        <v>46251</v>
      </c>
      <c r="BC10" s="52">
        <v>46252</v>
      </c>
      <c r="BD10" s="52">
        <v>46253</v>
      </c>
      <c r="BE10" s="52">
        <v>46254</v>
      </c>
      <c r="BF10" s="53">
        <v>46255</v>
      </c>
      <c r="BG10" s="51">
        <v>46258</v>
      </c>
      <c r="BH10" s="52">
        <v>46259</v>
      </c>
      <c r="BI10" s="52">
        <v>46260</v>
      </c>
      <c r="BJ10" s="52">
        <v>46261</v>
      </c>
      <c r="BK10" s="53">
        <v>46262</v>
      </c>
      <c r="BL10" s="51">
        <v>46265</v>
      </c>
      <c r="BM10" s="52">
        <v>46266</v>
      </c>
      <c r="BN10" s="52">
        <v>46267</v>
      </c>
      <c r="BO10" s="52">
        <v>46268</v>
      </c>
      <c r="BP10" s="53">
        <v>46269</v>
      </c>
      <c r="BQ10" s="51">
        <v>46272</v>
      </c>
      <c r="BR10" s="52">
        <v>46273</v>
      </c>
      <c r="BS10" s="52">
        <v>46274</v>
      </c>
      <c r="BT10" s="52">
        <v>46275</v>
      </c>
      <c r="BU10" s="53">
        <v>46276</v>
      </c>
      <c r="BV10" s="51">
        <v>46279</v>
      </c>
      <c r="BW10" s="52">
        <v>46280</v>
      </c>
      <c r="BX10" s="52">
        <v>46281</v>
      </c>
      <c r="BY10" s="52">
        <v>46282</v>
      </c>
      <c r="BZ10" s="53">
        <v>46283</v>
      </c>
      <c r="CA10" s="51">
        <v>46286</v>
      </c>
      <c r="CB10" s="52">
        <v>46287</v>
      </c>
      <c r="CC10" s="52">
        <v>46288</v>
      </c>
      <c r="CD10" s="52">
        <v>46289</v>
      </c>
      <c r="CE10" s="53">
        <v>46290</v>
      </c>
      <c r="CF10" s="51">
        <v>46293</v>
      </c>
      <c r="CG10" s="52">
        <v>46294</v>
      </c>
      <c r="CH10" s="52">
        <v>46295</v>
      </c>
      <c r="CI10" s="52">
        <v>46296</v>
      </c>
      <c r="CJ10" s="53">
        <v>46297</v>
      </c>
      <c r="CK10" s="51">
        <f t="shared" si="32"/>
        <v>46300</v>
      </c>
      <c r="CL10" s="52">
        <f t="shared" ref="CL10:CO11" si="117">CK10+1</f>
        <v>46301</v>
      </c>
      <c r="CM10" s="52">
        <f t="shared" si="117"/>
        <v>46302</v>
      </c>
      <c r="CN10" s="52">
        <f t="shared" si="117"/>
        <v>46303</v>
      </c>
      <c r="CO10" s="53">
        <f t="shared" si="117"/>
        <v>46304</v>
      </c>
      <c r="CP10" s="51">
        <f t="shared" si="61"/>
        <v>46307</v>
      </c>
      <c r="CQ10" s="52">
        <f t="shared" ref="CQ10:CT11" si="118">CP10+1</f>
        <v>46308</v>
      </c>
      <c r="CR10" s="52">
        <f t="shared" si="118"/>
        <v>46309</v>
      </c>
      <c r="CS10" s="52">
        <f t="shared" si="118"/>
        <v>46310</v>
      </c>
      <c r="CT10" s="53">
        <f t="shared" si="118"/>
        <v>46311</v>
      </c>
      <c r="CU10" s="51">
        <f t="shared" si="35"/>
        <v>46314</v>
      </c>
      <c r="CV10" s="52">
        <f t="shared" ref="CV10:CY11" si="119">CU10+1</f>
        <v>46315</v>
      </c>
      <c r="CW10" s="52">
        <f t="shared" si="119"/>
        <v>46316</v>
      </c>
      <c r="CX10" s="52">
        <f t="shared" si="119"/>
        <v>46317</v>
      </c>
      <c r="CY10" s="53">
        <f t="shared" si="119"/>
        <v>46318</v>
      </c>
      <c r="CZ10" s="51">
        <f t="shared" si="37"/>
        <v>46321</v>
      </c>
      <c r="DA10" s="52">
        <f t="shared" ref="DA10:DD11" si="120">CZ10+1</f>
        <v>46322</v>
      </c>
      <c r="DB10" s="52">
        <f t="shared" si="120"/>
        <v>46323</v>
      </c>
      <c r="DC10" s="52">
        <f t="shared" si="120"/>
        <v>46324</v>
      </c>
      <c r="DD10" s="53">
        <f t="shared" si="120"/>
        <v>46325</v>
      </c>
      <c r="DE10" s="51">
        <f t="shared" si="39"/>
        <v>46328</v>
      </c>
      <c r="DF10" s="52">
        <f t="shared" ref="DF10:DI11" si="121">DE10+1</f>
        <v>46329</v>
      </c>
      <c r="DG10" s="52">
        <f t="shared" si="121"/>
        <v>46330</v>
      </c>
      <c r="DH10" s="52">
        <f t="shared" si="121"/>
        <v>46331</v>
      </c>
      <c r="DI10" s="53">
        <f t="shared" si="121"/>
        <v>46332</v>
      </c>
      <c r="DJ10" s="51">
        <f t="shared" si="41"/>
        <v>46335</v>
      </c>
      <c r="DK10" s="52">
        <f t="shared" ref="DK10:DN11" si="122">DJ10+1</f>
        <v>46336</v>
      </c>
      <c r="DL10" s="52">
        <f t="shared" si="122"/>
        <v>46337</v>
      </c>
      <c r="DM10" s="52">
        <f t="shared" si="122"/>
        <v>46338</v>
      </c>
      <c r="DN10" s="53">
        <f t="shared" si="122"/>
        <v>46339</v>
      </c>
      <c r="DO10" s="51">
        <f t="shared" si="43"/>
        <v>46342</v>
      </c>
      <c r="DP10" s="52">
        <f t="shared" ref="DP10:DS11" si="123">DO10+1</f>
        <v>46343</v>
      </c>
      <c r="DQ10" s="52">
        <f t="shared" si="123"/>
        <v>46344</v>
      </c>
      <c r="DR10" s="52">
        <f t="shared" si="123"/>
        <v>46345</v>
      </c>
      <c r="DS10" s="53">
        <f t="shared" si="123"/>
        <v>46346</v>
      </c>
      <c r="DT10" s="51">
        <f t="shared" si="45"/>
        <v>46349</v>
      </c>
      <c r="DU10" s="52">
        <f t="shared" ref="DU10:DX11" si="124">DT10+1</f>
        <v>46350</v>
      </c>
      <c r="DV10" s="52">
        <f t="shared" si="124"/>
        <v>46351</v>
      </c>
      <c r="DW10" s="52">
        <f t="shared" si="124"/>
        <v>46352</v>
      </c>
      <c r="DX10" s="53">
        <f t="shared" si="124"/>
        <v>46353</v>
      </c>
      <c r="DY10" s="51">
        <f t="shared" si="47"/>
        <v>46356</v>
      </c>
      <c r="DZ10" s="52">
        <f t="shared" ref="DZ10:EC11" si="125">DY10+1</f>
        <v>46357</v>
      </c>
      <c r="EA10" s="52">
        <f t="shared" si="125"/>
        <v>46358</v>
      </c>
      <c r="EB10" s="52">
        <f t="shared" si="125"/>
        <v>46359</v>
      </c>
      <c r="EC10" s="53">
        <f t="shared" si="125"/>
        <v>46360</v>
      </c>
      <c r="ED10" s="51">
        <f t="shared" si="49"/>
        <v>46363</v>
      </c>
      <c r="EE10" s="52">
        <f t="shared" ref="EE10:EH11" si="126">ED10+1</f>
        <v>46364</v>
      </c>
      <c r="EF10" s="52">
        <f t="shared" si="126"/>
        <v>46365</v>
      </c>
      <c r="EG10" s="52">
        <f t="shared" si="126"/>
        <v>46366</v>
      </c>
      <c r="EH10" s="53">
        <f t="shared" si="126"/>
        <v>46367</v>
      </c>
      <c r="EI10" s="51">
        <f t="shared" si="51"/>
        <v>46370</v>
      </c>
      <c r="EJ10" s="52">
        <f t="shared" ref="EJ10:EM11" si="127">EI10+1</f>
        <v>46371</v>
      </c>
      <c r="EK10" s="52">
        <f t="shared" si="127"/>
        <v>46372</v>
      </c>
      <c r="EL10" s="52">
        <f t="shared" si="127"/>
        <v>46373</v>
      </c>
      <c r="EM10" s="53">
        <f t="shared" si="127"/>
        <v>46374</v>
      </c>
      <c r="EN10" s="51">
        <f t="shared" si="53"/>
        <v>46377</v>
      </c>
      <c r="EO10" s="52">
        <f t="shared" ref="EO10:ER11" si="128">EN10+1</f>
        <v>46378</v>
      </c>
      <c r="EP10" s="52">
        <f t="shared" si="128"/>
        <v>46379</v>
      </c>
      <c r="EQ10" s="52">
        <f t="shared" si="128"/>
        <v>46380</v>
      </c>
      <c r="ER10" s="53">
        <f t="shared" si="128"/>
        <v>46381</v>
      </c>
      <c r="ES10" s="51">
        <f t="shared" si="55"/>
        <v>46384</v>
      </c>
      <c r="ET10" s="52">
        <f t="shared" ref="ET10:EW11" si="129">ES10+1</f>
        <v>46385</v>
      </c>
      <c r="EU10" s="52">
        <f t="shared" si="129"/>
        <v>46386</v>
      </c>
      <c r="EV10" s="52">
        <f t="shared" si="129"/>
        <v>46387</v>
      </c>
      <c r="EW10" s="53">
        <f t="shared" si="129"/>
        <v>46388</v>
      </c>
      <c r="EX10" s="51">
        <f t="shared" si="57"/>
        <v>46391</v>
      </c>
      <c r="EY10" s="52">
        <f t="shared" si="58"/>
        <v>46392</v>
      </c>
      <c r="EZ10" s="52">
        <f t="shared" si="29"/>
        <v>46393</v>
      </c>
      <c r="FA10" s="52">
        <f t="shared" si="29"/>
        <v>46394</v>
      </c>
      <c r="FB10" s="53">
        <f t="shared" si="29"/>
        <v>46395</v>
      </c>
    </row>
    <row r="11" spans="1:158" ht="18" customHeight="1" outlineLevel="2">
      <c r="A11" s="26"/>
      <c r="B11" s="34"/>
      <c r="C11" s="34"/>
      <c r="D11" s="41" t="s">
        <v>75</v>
      </c>
      <c r="E11" s="42"/>
      <c r="F11" s="43"/>
      <c r="G11" s="60" t="s">
        <v>18</v>
      </c>
      <c r="H11" s="71"/>
      <c r="I11" s="71"/>
      <c r="J11" s="72"/>
      <c r="K11" s="73"/>
      <c r="L11" s="74"/>
      <c r="M11" s="46">
        <v>46205</v>
      </c>
      <c r="N11" s="47">
        <v>46205</v>
      </c>
      <c r="O11" s="14">
        <f>5/132/5</f>
        <v>7.575757575757576E-3</v>
      </c>
      <c r="P11" s="14"/>
      <c r="Q11" s="15"/>
      <c r="R11" s="14"/>
      <c r="S11" s="51">
        <f t="shared" si="30"/>
        <v>46202</v>
      </c>
      <c r="T11" s="52">
        <f t="shared" si="116"/>
        <v>46203</v>
      </c>
      <c r="U11" s="52">
        <f t="shared" si="116"/>
        <v>46204</v>
      </c>
      <c r="V11" s="52">
        <f t="shared" si="116"/>
        <v>46205</v>
      </c>
      <c r="W11" s="53">
        <f t="shared" si="116"/>
        <v>46206</v>
      </c>
      <c r="X11" s="51">
        <v>46209</v>
      </c>
      <c r="Y11" s="52">
        <v>46210</v>
      </c>
      <c r="Z11" s="52">
        <v>46211</v>
      </c>
      <c r="AA11" s="52">
        <v>46212</v>
      </c>
      <c r="AB11" s="53">
        <v>46213</v>
      </c>
      <c r="AC11" s="51">
        <v>46216</v>
      </c>
      <c r="AD11" s="52">
        <v>46217</v>
      </c>
      <c r="AE11" s="52">
        <v>46218</v>
      </c>
      <c r="AF11" s="52">
        <v>46219</v>
      </c>
      <c r="AG11" s="53">
        <v>46220</v>
      </c>
      <c r="AH11" s="51">
        <v>46223</v>
      </c>
      <c r="AI11" s="52">
        <v>46224</v>
      </c>
      <c r="AJ11" s="52">
        <v>46225</v>
      </c>
      <c r="AK11" s="52">
        <v>46226</v>
      </c>
      <c r="AL11" s="53">
        <v>46227</v>
      </c>
      <c r="AM11" s="51">
        <v>46230</v>
      </c>
      <c r="AN11" s="52">
        <v>46231</v>
      </c>
      <c r="AO11" s="52">
        <v>46232</v>
      </c>
      <c r="AP11" s="52">
        <v>46233</v>
      </c>
      <c r="AQ11" s="53">
        <v>46234</v>
      </c>
      <c r="AR11" s="51">
        <v>46237</v>
      </c>
      <c r="AS11" s="52">
        <v>46238</v>
      </c>
      <c r="AT11" s="52">
        <v>46239</v>
      </c>
      <c r="AU11" s="52">
        <v>46240</v>
      </c>
      <c r="AV11" s="53">
        <v>46241</v>
      </c>
      <c r="AW11" s="51">
        <v>46244</v>
      </c>
      <c r="AX11" s="52">
        <v>46245</v>
      </c>
      <c r="AY11" s="52">
        <v>46246</v>
      </c>
      <c r="AZ11" s="52">
        <v>46247</v>
      </c>
      <c r="BA11" s="53">
        <v>46248</v>
      </c>
      <c r="BB11" s="51">
        <v>46251</v>
      </c>
      <c r="BC11" s="52">
        <v>46252</v>
      </c>
      <c r="BD11" s="52">
        <v>46253</v>
      </c>
      <c r="BE11" s="52">
        <v>46254</v>
      </c>
      <c r="BF11" s="53">
        <v>46255</v>
      </c>
      <c r="BG11" s="51">
        <v>46258</v>
      </c>
      <c r="BH11" s="52">
        <v>46259</v>
      </c>
      <c r="BI11" s="52">
        <v>46260</v>
      </c>
      <c r="BJ11" s="52">
        <v>46261</v>
      </c>
      <c r="BK11" s="53">
        <v>46262</v>
      </c>
      <c r="BL11" s="51">
        <v>46265</v>
      </c>
      <c r="BM11" s="52">
        <v>46266</v>
      </c>
      <c r="BN11" s="52">
        <v>46267</v>
      </c>
      <c r="BO11" s="52">
        <v>46268</v>
      </c>
      <c r="BP11" s="53">
        <v>46269</v>
      </c>
      <c r="BQ11" s="51">
        <v>46272</v>
      </c>
      <c r="BR11" s="52">
        <v>46273</v>
      </c>
      <c r="BS11" s="52">
        <v>46274</v>
      </c>
      <c r="BT11" s="52">
        <v>46275</v>
      </c>
      <c r="BU11" s="53">
        <v>46276</v>
      </c>
      <c r="BV11" s="51">
        <v>46279</v>
      </c>
      <c r="BW11" s="52">
        <v>46280</v>
      </c>
      <c r="BX11" s="52">
        <v>46281</v>
      </c>
      <c r="BY11" s="52">
        <v>46282</v>
      </c>
      <c r="BZ11" s="53">
        <v>46283</v>
      </c>
      <c r="CA11" s="51">
        <v>46286</v>
      </c>
      <c r="CB11" s="52">
        <v>46287</v>
      </c>
      <c r="CC11" s="52">
        <v>46288</v>
      </c>
      <c r="CD11" s="52">
        <v>46289</v>
      </c>
      <c r="CE11" s="53">
        <v>46290</v>
      </c>
      <c r="CF11" s="51">
        <v>46293</v>
      </c>
      <c r="CG11" s="52">
        <v>46294</v>
      </c>
      <c r="CH11" s="52">
        <v>46295</v>
      </c>
      <c r="CI11" s="52">
        <v>46296</v>
      </c>
      <c r="CJ11" s="53">
        <v>46297</v>
      </c>
      <c r="CK11" s="51">
        <f t="shared" si="32"/>
        <v>46300</v>
      </c>
      <c r="CL11" s="52">
        <f t="shared" si="117"/>
        <v>46301</v>
      </c>
      <c r="CM11" s="52">
        <f t="shared" si="117"/>
        <v>46302</v>
      </c>
      <c r="CN11" s="52">
        <f t="shared" si="117"/>
        <v>46303</v>
      </c>
      <c r="CO11" s="53">
        <f t="shared" si="117"/>
        <v>46304</v>
      </c>
      <c r="CP11" s="51">
        <f t="shared" si="61"/>
        <v>46307</v>
      </c>
      <c r="CQ11" s="52">
        <f t="shared" si="118"/>
        <v>46308</v>
      </c>
      <c r="CR11" s="52">
        <f t="shared" si="118"/>
        <v>46309</v>
      </c>
      <c r="CS11" s="52">
        <f t="shared" si="118"/>
        <v>46310</v>
      </c>
      <c r="CT11" s="53">
        <f t="shared" si="118"/>
        <v>46311</v>
      </c>
      <c r="CU11" s="51">
        <f t="shared" si="35"/>
        <v>46314</v>
      </c>
      <c r="CV11" s="52">
        <f t="shared" si="119"/>
        <v>46315</v>
      </c>
      <c r="CW11" s="52">
        <f t="shared" si="119"/>
        <v>46316</v>
      </c>
      <c r="CX11" s="52">
        <f t="shared" si="119"/>
        <v>46317</v>
      </c>
      <c r="CY11" s="53">
        <f t="shared" si="119"/>
        <v>46318</v>
      </c>
      <c r="CZ11" s="51">
        <f t="shared" si="37"/>
        <v>46321</v>
      </c>
      <c r="DA11" s="52">
        <f t="shared" si="120"/>
        <v>46322</v>
      </c>
      <c r="DB11" s="52">
        <f t="shared" si="120"/>
        <v>46323</v>
      </c>
      <c r="DC11" s="52">
        <f t="shared" si="120"/>
        <v>46324</v>
      </c>
      <c r="DD11" s="53">
        <f t="shared" si="120"/>
        <v>46325</v>
      </c>
      <c r="DE11" s="51">
        <f t="shared" si="39"/>
        <v>46328</v>
      </c>
      <c r="DF11" s="52">
        <f t="shared" si="121"/>
        <v>46329</v>
      </c>
      <c r="DG11" s="52">
        <f t="shared" si="121"/>
        <v>46330</v>
      </c>
      <c r="DH11" s="52">
        <f t="shared" si="121"/>
        <v>46331</v>
      </c>
      <c r="DI11" s="53">
        <f t="shared" si="121"/>
        <v>46332</v>
      </c>
      <c r="DJ11" s="51">
        <f t="shared" si="41"/>
        <v>46335</v>
      </c>
      <c r="DK11" s="52">
        <f t="shared" si="122"/>
        <v>46336</v>
      </c>
      <c r="DL11" s="52">
        <f t="shared" si="122"/>
        <v>46337</v>
      </c>
      <c r="DM11" s="52">
        <f t="shared" si="122"/>
        <v>46338</v>
      </c>
      <c r="DN11" s="53">
        <f t="shared" si="122"/>
        <v>46339</v>
      </c>
      <c r="DO11" s="51">
        <f t="shared" si="43"/>
        <v>46342</v>
      </c>
      <c r="DP11" s="52">
        <f t="shared" si="123"/>
        <v>46343</v>
      </c>
      <c r="DQ11" s="52">
        <f t="shared" si="123"/>
        <v>46344</v>
      </c>
      <c r="DR11" s="52">
        <f t="shared" si="123"/>
        <v>46345</v>
      </c>
      <c r="DS11" s="53">
        <f t="shared" si="123"/>
        <v>46346</v>
      </c>
      <c r="DT11" s="51">
        <f t="shared" si="45"/>
        <v>46349</v>
      </c>
      <c r="DU11" s="52">
        <f t="shared" si="124"/>
        <v>46350</v>
      </c>
      <c r="DV11" s="52">
        <f t="shared" si="124"/>
        <v>46351</v>
      </c>
      <c r="DW11" s="52">
        <f t="shared" si="124"/>
        <v>46352</v>
      </c>
      <c r="DX11" s="53">
        <f t="shared" si="124"/>
        <v>46353</v>
      </c>
      <c r="DY11" s="51">
        <f t="shared" si="47"/>
        <v>46356</v>
      </c>
      <c r="DZ11" s="52">
        <f t="shared" si="125"/>
        <v>46357</v>
      </c>
      <c r="EA11" s="52">
        <f t="shared" si="125"/>
        <v>46358</v>
      </c>
      <c r="EB11" s="52">
        <f t="shared" si="125"/>
        <v>46359</v>
      </c>
      <c r="EC11" s="53">
        <f t="shared" si="125"/>
        <v>46360</v>
      </c>
      <c r="ED11" s="51">
        <f t="shared" si="49"/>
        <v>46363</v>
      </c>
      <c r="EE11" s="52">
        <f t="shared" si="126"/>
        <v>46364</v>
      </c>
      <c r="EF11" s="52">
        <f t="shared" si="126"/>
        <v>46365</v>
      </c>
      <c r="EG11" s="52">
        <f t="shared" si="126"/>
        <v>46366</v>
      </c>
      <c r="EH11" s="53">
        <f t="shared" si="126"/>
        <v>46367</v>
      </c>
      <c r="EI11" s="51">
        <f t="shared" si="51"/>
        <v>46370</v>
      </c>
      <c r="EJ11" s="52">
        <f t="shared" si="127"/>
        <v>46371</v>
      </c>
      <c r="EK11" s="52">
        <f t="shared" si="127"/>
        <v>46372</v>
      </c>
      <c r="EL11" s="52">
        <f t="shared" si="127"/>
        <v>46373</v>
      </c>
      <c r="EM11" s="53">
        <f t="shared" si="127"/>
        <v>46374</v>
      </c>
      <c r="EN11" s="51">
        <f t="shared" si="53"/>
        <v>46377</v>
      </c>
      <c r="EO11" s="52">
        <f t="shared" si="128"/>
        <v>46378</v>
      </c>
      <c r="EP11" s="52">
        <f t="shared" si="128"/>
        <v>46379</v>
      </c>
      <c r="EQ11" s="52">
        <f t="shared" si="128"/>
        <v>46380</v>
      </c>
      <c r="ER11" s="53">
        <f t="shared" si="128"/>
        <v>46381</v>
      </c>
      <c r="ES11" s="51">
        <f t="shared" si="55"/>
        <v>46384</v>
      </c>
      <c r="ET11" s="52">
        <f t="shared" si="129"/>
        <v>46385</v>
      </c>
      <c r="EU11" s="52">
        <f t="shared" si="129"/>
        <v>46386</v>
      </c>
      <c r="EV11" s="52">
        <f t="shared" si="129"/>
        <v>46387</v>
      </c>
      <c r="EW11" s="53">
        <f t="shared" si="129"/>
        <v>46388</v>
      </c>
      <c r="EX11" s="51">
        <f t="shared" si="57"/>
        <v>46391</v>
      </c>
      <c r="EY11" s="52">
        <f t="shared" si="58"/>
        <v>46392</v>
      </c>
      <c r="EZ11" s="52">
        <f t="shared" si="29"/>
        <v>46393</v>
      </c>
      <c r="FA11" s="52">
        <f t="shared" si="29"/>
        <v>46394</v>
      </c>
      <c r="FB11" s="53">
        <f t="shared" si="29"/>
        <v>46395</v>
      </c>
    </row>
    <row r="12" spans="1:158" ht="17.25" customHeight="1" outlineLevel="1">
      <c r="A12" s="26"/>
      <c r="B12" s="34"/>
      <c r="C12" s="57" t="s">
        <v>96</v>
      </c>
      <c r="D12" s="36"/>
      <c r="E12" s="37"/>
      <c r="F12" s="38"/>
      <c r="G12" s="59" t="s">
        <v>126</v>
      </c>
      <c r="H12" s="67"/>
      <c r="I12" s="67"/>
      <c r="J12" s="68"/>
      <c r="K12" s="69"/>
      <c r="L12" s="70"/>
      <c r="M12" s="39">
        <v>46213</v>
      </c>
      <c r="N12" s="40">
        <v>46213</v>
      </c>
      <c r="O12" s="24">
        <f>2/132/2</f>
        <v>7.575757575757576E-3</v>
      </c>
      <c r="P12" s="24"/>
      <c r="Q12" s="24"/>
      <c r="R12" s="24"/>
      <c r="S12" s="51">
        <f t="shared" si="30"/>
        <v>46202</v>
      </c>
      <c r="T12" s="52">
        <f t="shared" ref="T12:W12" si="130">S12+1</f>
        <v>46203</v>
      </c>
      <c r="U12" s="52">
        <f t="shared" si="130"/>
        <v>46204</v>
      </c>
      <c r="V12" s="52">
        <f t="shared" si="130"/>
        <v>46205</v>
      </c>
      <c r="W12" s="53">
        <f t="shared" si="130"/>
        <v>46206</v>
      </c>
      <c r="X12" s="51">
        <v>46209</v>
      </c>
      <c r="Y12" s="52">
        <v>46210</v>
      </c>
      <c r="Z12" s="52">
        <v>46211</v>
      </c>
      <c r="AA12" s="52">
        <v>46212</v>
      </c>
      <c r="AB12" s="53">
        <v>46213</v>
      </c>
      <c r="AC12" s="51">
        <v>46216</v>
      </c>
      <c r="AD12" s="52">
        <v>46217</v>
      </c>
      <c r="AE12" s="52">
        <v>46218</v>
      </c>
      <c r="AF12" s="52">
        <v>46219</v>
      </c>
      <c r="AG12" s="53">
        <v>46220</v>
      </c>
      <c r="AH12" s="51">
        <v>46223</v>
      </c>
      <c r="AI12" s="52">
        <v>46224</v>
      </c>
      <c r="AJ12" s="52">
        <v>46225</v>
      </c>
      <c r="AK12" s="52">
        <v>46226</v>
      </c>
      <c r="AL12" s="53">
        <v>46227</v>
      </c>
      <c r="AM12" s="51">
        <v>46230</v>
      </c>
      <c r="AN12" s="52">
        <v>46231</v>
      </c>
      <c r="AO12" s="52">
        <v>46232</v>
      </c>
      <c r="AP12" s="52">
        <v>46233</v>
      </c>
      <c r="AQ12" s="53">
        <v>46234</v>
      </c>
      <c r="AR12" s="51">
        <v>46237</v>
      </c>
      <c r="AS12" s="52">
        <v>46238</v>
      </c>
      <c r="AT12" s="52">
        <v>46239</v>
      </c>
      <c r="AU12" s="52">
        <v>46240</v>
      </c>
      <c r="AV12" s="53">
        <v>46241</v>
      </c>
      <c r="AW12" s="51">
        <v>46244</v>
      </c>
      <c r="AX12" s="52">
        <v>46245</v>
      </c>
      <c r="AY12" s="52">
        <v>46246</v>
      </c>
      <c r="AZ12" s="52">
        <v>46247</v>
      </c>
      <c r="BA12" s="53">
        <v>46248</v>
      </c>
      <c r="BB12" s="51">
        <v>46251</v>
      </c>
      <c r="BC12" s="52">
        <v>46252</v>
      </c>
      <c r="BD12" s="52">
        <v>46253</v>
      </c>
      <c r="BE12" s="52">
        <v>46254</v>
      </c>
      <c r="BF12" s="53">
        <v>46255</v>
      </c>
      <c r="BG12" s="51">
        <v>46258</v>
      </c>
      <c r="BH12" s="52">
        <v>46259</v>
      </c>
      <c r="BI12" s="52">
        <v>46260</v>
      </c>
      <c r="BJ12" s="52">
        <v>46261</v>
      </c>
      <c r="BK12" s="53">
        <v>46262</v>
      </c>
      <c r="BL12" s="51">
        <v>46265</v>
      </c>
      <c r="BM12" s="52">
        <v>46266</v>
      </c>
      <c r="BN12" s="52">
        <v>46267</v>
      </c>
      <c r="BO12" s="52">
        <v>46268</v>
      </c>
      <c r="BP12" s="53">
        <v>46269</v>
      </c>
      <c r="BQ12" s="51">
        <v>46272</v>
      </c>
      <c r="BR12" s="52">
        <v>46273</v>
      </c>
      <c r="BS12" s="52">
        <v>46274</v>
      </c>
      <c r="BT12" s="52">
        <v>46275</v>
      </c>
      <c r="BU12" s="53">
        <v>46276</v>
      </c>
      <c r="BV12" s="51">
        <v>46279</v>
      </c>
      <c r="BW12" s="52">
        <v>46280</v>
      </c>
      <c r="BX12" s="52">
        <v>46281</v>
      </c>
      <c r="BY12" s="52">
        <v>46282</v>
      </c>
      <c r="BZ12" s="53">
        <v>46283</v>
      </c>
      <c r="CA12" s="51">
        <v>46286</v>
      </c>
      <c r="CB12" s="52">
        <v>46287</v>
      </c>
      <c r="CC12" s="52">
        <v>46288</v>
      </c>
      <c r="CD12" s="52">
        <v>46289</v>
      </c>
      <c r="CE12" s="53">
        <v>46290</v>
      </c>
      <c r="CF12" s="51">
        <v>46293</v>
      </c>
      <c r="CG12" s="52">
        <v>46294</v>
      </c>
      <c r="CH12" s="52">
        <v>46295</v>
      </c>
      <c r="CI12" s="52">
        <v>46296</v>
      </c>
      <c r="CJ12" s="53">
        <v>46297</v>
      </c>
      <c r="CK12" s="51">
        <f t="shared" si="32"/>
        <v>46300</v>
      </c>
      <c r="CL12" s="52">
        <f t="shared" ref="CL12:CO12" si="131">CK12+1</f>
        <v>46301</v>
      </c>
      <c r="CM12" s="52">
        <f t="shared" si="131"/>
        <v>46302</v>
      </c>
      <c r="CN12" s="52">
        <f t="shared" si="131"/>
        <v>46303</v>
      </c>
      <c r="CO12" s="53">
        <f t="shared" si="131"/>
        <v>46304</v>
      </c>
      <c r="CP12" s="51">
        <f t="shared" si="61"/>
        <v>46307</v>
      </c>
      <c r="CQ12" s="52">
        <f t="shared" ref="CQ12:CT12" si="132">CP12+1</f>
        <v>46308</v>
      </c>
      <c r="CR12" s="52">
        <f t="shared" si="132"/>
        <v>46309</v>
      </c>
      <c r="CS12" s="52">
        <f t="shared" si="132"/>
        <v>46310</v>
      </c>
      <c r="CT12" s="53">
        <f t="shared" si="132"/>
        <v>46311</v>
      </c>
      <c r="CU12" s="51">
        <f t="shared" si="35"/>
        <v>46314</v>
      </c>
      <c r="CV12" s="52">
        <f t="shared" ref="CV12:CY12" si="133">CU12+1</f>
        <v>46315</v>
      </c>
      <c r="CW12" s="52">
        <f t="shared" si="133"/>
        <v>46316</v>
      </c>
      <c r="CX12" s="52">
        <f t="shared" si="133"/>
        <v>46317</v>
      </c>
      <c r="CY12" s="53">
        <f t="shared" si="133"/>
        <v>46318</v>
      </c>
      <c r="CZ12" s="51">
        <f t="shared" si="37"/>
        <v>46321</v>
      </c>
      <c r="DA12" s="52">
        <f t="shared" ref="DA12:DD12" si="134">CZ12+1</f>
        <v>46322</v>
      </c>
      <c r="DB12" s="52">
        <f t="shared" si="134"/>
        <v>46323</v>
      </c>
      <c r="DC12" s="52">
        <f t="shared" si="134"/>
        <v>46324</v>
      </c>
      <c r="DD12" s="53">
        <f t="shared" si="134"/>
        <v>46325</v>
      </c>
      <c r="DE12" s="51">
        <f t="shared" si="39"/>
        <v>46328</v>
      </c>
      <c r="DF12" s="52">
        <f t="shared" ref="DF12:DI12" si="135">DE12+1</f>
        <v>46329</v>
      </c>
      <c r="DG12" s="52">
        <f t="shared" si="135"/>
        <v>46330</v>
      </c>
      <c r="DH12" s="52">
        <f t="shared" si="135"/>
        <v>46331</v>
      </c>
      <c r="DI12" s="53">
        <f t="shared" si="135"/>
        <v>46332</v>
      </c>
      <c r="DJ12" s="51">
        <f t="shared" si="41"/>
        <v>46335</v>
      </c>
      <c r="DK12" s="52">
        <f t="shared" ref="DK12:DN12" si="136">DJ12+1</f>
        <v>46336</v>
      </c>
      <c r="DL12" s="52">
        <f t="shared" si="136"/>
        <v>46337</v>
      </c>
      <c r="DM12" s="52">
        <f t="shared" si="136"/>
        <v>46338</v>
      </c>
      <c r="DN12" s="53">
        <f t="shared" si="136"/>
        <v>46339</v>
      </c>
      <c r="DO12" s="51">
        <f t="shared" si="43"/>
        <v>46342</v>
      </c>
      <c r="DP12" s="52">
        <f t="shared" ref="DP12:DS12" si="137">DO12+1</f>
        <v>46343</v>
      </c>
      <c r="DQ12" s="52">
        <f t="shared" si="137"/>
        <v>46344</v>
      </c>
      <c r="DR12" s="52">
        <f t="shared" si="137"/>
        <v>46345</v>
      </c>
      <c r="DS12" s="53">
        <f t="shared" si="137"/>
        <v>46346</v>
      </c>
      <c r="DT12" s="51">
        <f t="shared" si="45"/>
        <v>46349</v>
      </c>
      <c r="DU12" s="52">
        <f t="shared" ref="DU12:DX12" si="138">DT12+1</f>
        <v>46350</v>
      </c>
      <c r="DV12" s="52">
        <f t="shared" si="138"/>
        <v>46351</v>
      </c>
      <c r="DW12" s="52">
        <f t="shared" si="138"/>
        <v>46352</v>
      </c>
      <c r="DX12" s="53">
        <f t="shared" si="138"/>
        <v>46353</v>
      </c>
      <c r="DY12" s="51">
        <f t="shared" si="47"/>
        <v>46356</v>
      </c>
      <c r="DZ12" s="52">
        <f t="shared" ref="DZ12:EC12" si="139">DY12+1</f>
        <v>46357</v>
      </c>
      <c r="EA12" s="52">
        <f t="shared" si="139"/>
        <v>46358</v>
      </c>
      <c r="EB12" s="52">
        <f t="shared" si="139"/>
        <v>46359</v>
      </c>
      <c r="EC12" s="53">
        <f t="shared" si="139"/>
        <v>46360</v>
      </c>
      <c r="ED12" s="51">
        <f t="shared" si="49"/>
        <v>46363</v>
      </c>
      <c r="EE12" s="52">
        <f t="shared" ref="EE12:EH12" si="140">ED12+1</f>
        <v>46364</v>
      </c>
      <c r="EF12" s="52">
        <f t="shared" si="140"/>
        <v>46365</v>
      </c>
      <c r="EG12" s="52">
        <f t="shared" si="140"/>
        <v>46366</v>
      </c>
      <c r="EH12" s="53">
        <f t="shared" si="140"/>
        <v>46367</v>
      </c>
      <c r="EI12" s="51">
        <f t="shared" si="51"/>
        <v>46370</v>
      </c>
      <c r="EJ12" s="52">
        <f t="shared" ref="EJ12:EM12" si="141">EI12+1</f>
        <v>46371</v>
      </c>
      <c r="EK12" s="52">
        <f t="shared" si="141"/>
        <v>46372</v>
      </c>
      <c r="EL12" s="52">
        <f t="shared" si="141"/>
        <v>46373</v>
      </c>
      <c r="EM12" s="53">
        <f t="shared" si="141"/>
        <v>46374</v>
      </c>
      <c r="EN12" s="51">
        <f t="shared" si="53"/>
        <v>46377</v>
      </c>
      <c r="EO12" s="52">
        <f t="shared" ref="EO12:ER12" si="142">EN12+1</f>
        <v>46378</v>
      </c>
      <c r="EP12" s="52">
        <f t="shared" si="142"/>
        <v>46379</v>
      </c>
      <c r="EQ12" s="52">
        <f t="shared" si="142"/>
        <v>46380</v>
      </c>
      <c r="ER12" s="53">
        <f t="shared" si="142"/>
        <v>46381</v>
      </c>
      <c r="ES12" s="51">
        <f t="shared" si="55"/>
        <v>46384</v>
      </c>
      <c r="ET12" s="52">
        <f t="shared" ref="ET12:EW12" si="143">ES12+1</f>
        <v>46385</v>
      </c>
      <c r="EU12" s="52">
        <f t="shared" si="143"/>
        <v>46386</v>
      </c>
      <c r="EV12" s="52">
        <f t="shared" si="143"/>
        <v>46387</v>
      </c>
      <c r="EW12" s="53">
        <f t="shared" si="143"/>
        <v>46388</v>
      </c>
      <c r="EX12" s="51">
        <f t="shared" si="57"/>
        <v>46391</v>
      </c>
      <c r="EY12" s="52">
        <f>EX10+1</f>
        <v>46392</v>
      </c>
      <c r="EZ12" s="52">
        <f>EY10+1</f>
        <v>46393</v>
      </c>
      <c r="FA12" s="52">
        <f>EZ10+1</f>
        <v>46394</v>
      </c>
      <c r="FB12" s="53">
        <f>FA10+1</f>
        <v>46395</v>
      </c>
    </row>
    <row r="13" spans="1:158" ht="23.25" customHeight="1">
      <c r="A13" s="26"/>
      <c r="B13" s="27" t="s">
        <v>95</v>
      </c>
      <c r="C13" s="28"/>
      <c r="D13" s="29"/>
      <c r="E13" s="30"/>
      <c r="F13" s="31"/>
      <c r="G13" s="75"/>
      <c r="H13" s="76"/>
      <c r="I13" s="76"/>
      <c r="J13" s="77"/>
      <c r="K13" s="55"/>
      <c r="L13" s="55"/>
      <c r="M13" s="32">
        <f>MIN(M14:M28)</f>
        <v>46204</v>
      </c>
      <c r="N13" s="33">
        <f>MAX(N14:N28)</f>
        <v>46318</v>
      </c>
      <c r="O13" s="25">
        <f>O14+O19+O22+O24+O29</f>
        <v>0.2848484848484848</v>
      </c>
      <c r="P13" s="25"/>
      <c r="Q13" s="25"/>
      <c r="R13" s="25"/>
      <c r="S13" s="51">
        <f t="shared" si="30"/>
        <v>46202</v>
      </c>
      <c r="T13" s="52">
        <f t="shared" ref="T13:W13" si="144">S13+1</f>
        <v>46203</v>
      </c>
      <c r="U13" s="52">
        <f t="shared" si="144"/>
        <v>46204</v>
      </c>
      <c r="V13" s="52">
        <f t="shared" si="144"/>
        <v>46205</v>
      </c>
      <c r="W13" s="53">
        <f t="shared" si="144"/>
        <v>46206</v>
      </c>
      <c r="X13" s="51">
        <v>46209</v>
      </c>
      <c r="Y13" s="52">
        <v>46210</v>
      </c>
      <c r="Z13" s="52">
        <v>46211</v>
      </c>
      <c r="AA13" s="52">
        <v>46212</v>
      </c>
      <c r="AB13" s="53">
        <v>46213</v>
      </c>
      <c r="AC13" s="51">
        <v>46216</v>
      </c>
      <c r="AD13" s="52">
        <v>46217</v>
      </c>
      <c r="AE13" s="52">
        <v>46218</v>
      </c>
      <c r="AF13" s="52">
        <v>46219</v>
      </c>
      <c r="AG13" s="53">
        <v>46220</v>
      </c>
      <c r="AH13" s="51">
        <v>46223</v>
      </c>
      <c r="AI13" s="52">
        <v>46224</v>
      </c>
      <c r="AJ13" s="52">
        <v>46225</v>
      </c>
      <c r="AK13" s="52">
        <v>46226</v>
      </c>
      <c r="AL13" s="53">
        <v>46227</v>
      </c>
      <c r="AM13" s="51">
        <v>46230</v>
      </c>
      <c r="AN13" s="52">
        <v>46231</v>
      </c>
      <c r="AO13" s="52">
        <v>46232</v>
      </c>
      <c r="AP13" s="52">
        <v>46233</v>
      </c>
      <c r="AQ13" s="53">
        <v>46234</v>
      </c>
      <c r="AR13" s="51">
        <v>46237</v>
      </c>
      <c r="AS13" s="52">
        <v>46238</v>
      </c>
      <c r="AT13" s="52">
        <v>46239</v>
      </c>
      <c r="AU13" s="52">
        <v>46240</v>
      </c>
      <c r="AV13" s="53">
        <v>46241</v>
      </c>
      <c r="AW13" s="51">
        <v>46244</v>
      </c>
      <c r="AX13" s="52">
        <v>46245</v>
      </c>
      <c r="AY13" s="52">
        <v>46246</v>
      </c>
      <c r="AZ13" s="52">
        <v>46247</v>
      </c>
      <c r="BA13" s="53">
        <v>46248</v>
      </c>
      <c r="BB13" s="51">
        <v>46251</v>
      </c>
      <c r="BC13" s="52">
        <v>46252</v>
      </c>
      <c r="BD13" s="52">
        <v>46253</v>
      </c>
      <c r="BE13" s="52">
        <v>46254</v>
      </c>
      <c r="BF13" s="53">
        <v>46255</v>
      </c>
      <c r="BG13" s="51">
        <v>46258</v>
      </c>
      <c r="BH13" s="52">
        <v>46259</v>
      </c>
      <c r="BI13" s="52">
        <v>46260</v>
      </c>
      <c r="BJ13" s="52">
        <v>46261</v>
      </c>
      <c r="BK13" s="53">
        <v>46262</v>
      </c>
      <c r="BL13" s="51">
        <v>46265</v>
      </c>
      <c r="BM13" s="52">
        <v>46266</v>
      </c>
      <c r="BN13" s="52">
        <v>46267</v>
      </c>
      <c r="BO13" s="52">
        <v>46268</v>
      </c>
      <c r="BP13" s="53">
        <v>46269</v>
      </c>
      <c r="BQ13" s="51">
        <v>46272</v>
      </c>
      <c r="BR13" s="52">
        <v>46273</v>
      </c>
      <c r="BS13" s="52">
        <v>46274</v>
      </c>
      <c r="BT13" s="52">
        <v>46275</v>
      </c>
      <c r="BU13" s="53">
        <v>46276</v>
      </c>
      <c r="BV13" s="51">
        <v>46279</v>
      </c>
      <c r="BW13" s="52">
        <v>46280</v>
      </c>
      <c r="BX13" s="52">
        <v>46281</v>
      </c>
      <c r="BY13" s="52">
        <v>46282</v>
      </c>
      <c r="BZ13" s="53">
        <v>46283</v>
      </c>
      <c r="CA13" s="51">
        <v>46286</v>
      </c>
      <c r="CB13" s="52">
        <v>46287</v>
      </c>
      <c r="CC13" s="52">
        <v>46288</v>
      </c>
      <c r="CD13" s="52">
        <v>46289</v>
      </c>
      <c r="CE13" s="53">
        <v>46290</v>
      </c>
      <c r="CF13" s="51">
        <v>46293</v>
      </c>
      <c r="CG13" s="52">
        <v>46294</v>
      </c>
      <c r="CH13" s="52">
        <v>46295</v>
      </c>
      <c r="CI13" s="52">
        <v>46296</v>
      </c>
      <c r="CJ13" s="53">
        <v>46297</v>
      </c>
      <c r="CK13" s="51">
        <f t="shared" si="32"/>
        <v>46300</v>
      </c>
      <c r="CL13" s="52">
        <f t="shared" ref="CL13:CO13" si="145">CK13+1</f>
        <v>46301</v>
      </c>
      <c r="CM13" s="52">
        <f t="shared" si="145"/>
        <v>46302</v>
      </c>
      <c r="CN13" s="52">
        <f t="shared" si="145"/>
        <v>46303</v>
      </c>
      <c r="CO13" s="53">
        <f t="shared" si="145"/>
        <v>46304</v>
      </c>
      <c r="CP13" s="51">
        <f t="shared" si="61"/>
        <v>46307</v>
      </c>
      <c r="CQ13" s="52">
        <f t="shared" ref="CQ13:CT13" si="146">CP13+1</f>
        <v>46308</v>
      </c>
      <c r="CR13" s="52">
        <f t="shared" si="146"/>
        <v>46309</v>
      </c>
      <c r="CS13" s="52">
        <f t="shared" si="146"/>
        <v>46310</v>
      </c>
      <c r="CT13" s="53">
        <f t="shared" si="146"/>
        <v>46311</v>
      </c>
      <c r="CU13" s="51">
        <f t="shared" si="35"/>
        <v>46314</v>
      </c>
      <c r="CV13" s="52">
        <f t="shared" ref="CV13:CY13" si="147">CU13+1</f>
        <v>46315</v>
      </c>
      <c r="CW13" s="52">
        <f t="shared" si="147"/>
        <v>46316</v>
      </c>
      <c r="CX13" s="52">
        <f t="shared" si="147"/>
        <v>46317</v>
      </c>
      <c r="CY13" s="53">
        <f t="shared" si="147"/>
        <v>46318</v>
      </c>
      <c r="CZ13" s="51">
        <f t="shared" si="37"/>
        <v>46321</v>
      </c>
      <c r="DA13" s="52">
        <f t="shared" ref="DA13:DD13" si="148">CZ13+1</f>
        <v>46322</v>
      </c>
      <c r="DB13" s="52">
        <f t="shared" si="148"/>
        <v>46323</v>
      </c>
      <c r="DC13" s="52">
        <f t="shared" si="148"/>
        <v>46324</v>
      </c>
      <c r="DD13" s="53">
        <f t="shared" si="148"/>
        <v>46325</v>
      </c>
      <c r="DE13" s="51">
        <f t="shared" si="39"/>
        <v>46328</v>
      </c>
      <c r="DF13" s="52">
        <f t="shared" ref="DF13:DI13" si="149">DE13+1</f>
        <v>46329</v>
      </c>
      <c r="DG13" s="52">
        <f t="shared" si="149"/>
        <v>46330</v>
      </c>
      <c r="DH13" s="52">
        <f t="shared" si="149"/>
        <v>46331</v>
      </c>
      <c r="DI13" s="53">
        <f t="shared" si="149"/>
        <v>46332</v>
      </c>
      <c r="DJ13" s="51">
        <f t="shared" si="41"/>
        <v>46335</v>
      </c>
      <c r="DK13" s="52">
        <f t="shared" ref="DK13:DN13" si="150">DJ13+1</f>
        <v>46336</v>
      </c>
      <c r="DL13" s="52">
        <f t="shared" si="150"/>
        <v>46337</v>
      </c>
      <c r="DM13" s="52">
        <f t="shared" si="150"/>
        <v>46338</v>
      </c>
      <c r="DN13" s="53">
        <f t="shared" si="150"/>
        <v>46339</v>
      </c>
      <c r="DO13" s="51">
        <f t="shared" si="43"/>
        <v>46342</v>
      </c>
      <c r="DP13" s="52">
        <f t="shared" ref="DP13:DS13" si="151">DO13+1</f>
        <v>46343</v>
      </c>
      <c r="DQ13" s="52">
        <f t="shared" si="151"/>
        <v>46344</v>
      </c>
      <c r="DR13" s="52">
        <f t="shared" si="151"/>
        <v>46345</v>
      </c>
      <c r="DS13" s="53">
        <f t="shared" si="151"/>
        <v>46346</v>
      </c>
      <c r="DT13" s="51">
        <f t="shared" si="45"/>
        <v>46349</v>
      </c>
      <c r="DU13" s="52">
        <f t="shared" ref="DU13:DX13" si="152">DT13+1</f>
        <v>46350</v>
      </c>
      <c r="DV13" s="52">
        <f t="shared" si="152"/>
        <v>46351</v>
      </c>
      <c r="DW13" s="52">
        <f t="shared" si="152"/>
        <v>46352</v>
      </c>
      <c r="DX13" s="53">
        <f t="shared" si="152"/>
        <v>46353</v>
      </c>
      <c r="DY13" s="51">
        <f t="shared" si="47"/>
        <v>46356</v>
      </c>
      <c r="DZ13" s="52">
        <f t="shared" ref="DZ13:EC13" si="153">DY13+1</f>
        <v>46357</v>
      </c>
      <c r="EA13" s="52">
        <f t="shared" si="153"/>
        <v>46358</v>
      </c>
      <c r="EB13" s="52">
        <f t="shared" si="153"/>
        <v>46359</v>
      </c>
      <c r="EC13" s="53">
        <f t="shared" si="153"/>
        <v>46360</v>
      </c>
      <c r="ED13" s="51">
        <f t="shared" si="49"/>
        <v>46363</v>
      </c>
      <c r="EE13" s="52">
        <f t="shared" ref="EE13:EH13" si="154">ED13+1</f>
        <v>46364</v>
      </c>
      <c r="EF13" s="52">
        <f t="shared" si="154"/>
        <v>46365</v>
      </c>
      <c r="EG13" s="52">
        <f t="shared" si="154"/>
        <v>46366</v>
      </c>
      <c r="EH13" s="53">
        <f t="shared" si="154"/>
        <v>46367</v>
      </c>
      <c r="EI13" s="51">
        <f t="shared" si="51"/>
        <v>46370</v>
      </c>
      <c r="EJ13" s="52">
        <f t="shared" ref="EJ13:EM13" si="155">EI13+1</f>
        <v>46371</v>
      </c>
      <c r="EK13" s="52">
        <f t="shared" si="155"/>
        <v>46372</v>
      </c>
      <c r="EL13" s="52">
        <f t="shared" si="155"/>
        <v>46373</v>
      </c>
      <c r="EM13" s="53">
        <f t="shared" si="155"/>
        <v>46374</v>
      </c>
      <c r="EN13" s="51">
        <f t="shared" si="53"/>
        <v>46377</v>
      </c>
      <c r="EO13" s="52">
        <f t="shared" ref="EO13:ER13" si="156">EN13+1</f>
        <v>46378</v>
      </c>
      <c r="EP13" s="52">
        <f t="shared" si="156"/>
        <v>46379</v>
      </c>
      <c r="EQ13" s="52">
        <f t="shared" si="156"/>
        <v>46380</v>
      </c>
      <c r="ER13" s="53">
        <f t="shared" si="156"/>
        <v>46381</v>
      </c>
      <c r="ES13" s="51">
        <f t="shared" si="55"/>
        <v>46384</v>
      </c>
      <c r="ET13" s="52">
        <f t="shared" ref="ET13:EW13" si="157">ES13+1</f>
        <v>46385</v>
      </c>
      <c r="EU13" s="52">
        <f t="shared" si="157"/>
        <v>46386</v>
      </c>
      <c r="EV13" s="52">
        <f t="shared" si="157"/>
        <v>46387</v>
      </c>
      <c r="EW13" s="53">
        <f t="shared" si="157"/>
        <v>46388</v>
      </c>
      <c r="EX13" s="51">
        <f t="shared" si="57"/>
        <v>46391</v>
      </c>
      <c r="EY13" s="52" t="e">
        <f>#REF!+1</f>
        <v>#REF!</v>
      </c>
      <c r="EZ13" s="52" t="e">
        <f>#REF!+1</f>
        <v>#REF!</v>
      </c>
      <c r="FA13" s="52" t="e">
        <f>#REF!+1</f>
        <v>#REF!</v>
      </c>
      <c r="FB13" s="53" t="e">
        <f>#REF!+1</f>
        <v>#REF!</v>
      </c>
    </row>
    <row r="14" spans="1:158" ht="17.25" customHeight="1" outlineLevel="1">
      <c r="A14" s="26"/>
      <c r="B14" s="34"/>
      <c r="C14" s="35" t="s">
        <v>76</v>
      </c>
      <c r="D14" s="36"/>
      <c r="E14" s="37"/>
      <c r="F14" s="38"/>
      <c r="G14" s="59"/>
      <c r="H14" s="67"/>
      <c r="I14" s="67"/>
      <c r="J14" s="68"/>
      <c r="K14" s="69"/>
      <c r="L14" s="70"/>
      <c r="M14" s="39">
        <f>MIN(M15:M18)</f>
        <v>46209</v>
      </c>
      <c r="N14" s="40">
        <f>MAX(N15:N18)</f>
        <v>46241</v>
      </c>
      <c r="O14" s="24">
        <f>SUM(O15:O18)</f>
        <v>0.10580808080808081</v>
      </c>
      <c r="P14" s="24"/>
      <c r="Q14" s="24"/>
      <c r="R14" s="24"/>
      <c r="S14" s="51">
        <f t="shared" si="30"/>
        <v>46202</v>
      </c>
      <c r="T14" s="52">
        <f t="shared" ref="T14:W14" si="158">S14+1</f>
        <v>46203</v>
      </c>
      <c r="U14" s="52">
        <f t="shared" si="158"/>
        <v>46204</v>
      </c>
      <c r="V14" s="52">
        <f t="shared" si="158"/>
        <v>46205</v>
      </c>
      <c r="W14" s="53">
        <f t="shared" si="158"/>
        <v>46206</v>
      </c>
      <c r="X14" s="51">
        <v>46209</v>
      </c>
      <c r="Y14" s="52">
        <v>46210</v>
      </c>
      <c r="Z14" s="52">
        <v>46211</v>
      </c>
      <c r="AA14" s="52">
        <v>46212</v>
      </c>
      <c r="AB14" s="53">
        <v>46213</v>
      </c>
      <c r="AC14" s="51">
        <v>46216</v>
      </c>
      <c r="AD14" s="52">
        <v>46217</v>
      </c>
      <c r="AE14" s="52">
        <v>46218</v>
      </c>
      <c r="AF14" s="52">
        <v>46219</v>
      </c>
      <c r="AG14" s="53">
        <v>46220</v>
      </c>
      <c r="AH14" s="51">
        <v>46223</v>
      </c>
      <c r="AI14" s="52">
        <v>46224</v>
      </c>
      <c r="AJ14" s="52">
        <v>46225</v>
      </c>
      <c r="AK14" s="52">
        <v>46226</v>
      </c>
      <c r="AL14" s="53">
        <v>46227</v>
      </c>
      <c r="AM14" s="51">
        <v>46230</v>
      </c>
      <c r="AN14" s="52">
        <v>46231</v>
      </c>
      <c r="AO14" s="52">
        <v>46232</v>
      </c>
      <c r="AP14" s="52">
        <v>46233</v>
      </c>
      <c r="AQ14" s="53">
        <v>46234</v>
      </c>
      <c r="AR14" s="51">
        <v>46237</v>
      </c>
      <c r="AS14" s="52">
        <v>46238</v>
      </c>
      <c r="AT14" s="52">
        <v>46239</v>
      </c>
      <c r="AU14" s="52">
        <v>46240</v>
      </c>
      <c r="AV14" s="53">
        <v>46241</v>
      </c>
      <c r="AW14" s="51">
        <v>46244</v>
      </c>
      <c r="AX14" s="52">
        <v>46245</v>
      </c>
      <c r="AY14" s="52">
        <v>46246</v>
      </c>
      <c r="AZ14" s="52">
        <v>46247</v>
      </c>
      <c r="BA14" s="53">
        <v>46248</v>
      </c>
      <c r="BB14" s="51">
        <v>46251</v>
      </c>
      <c r="BC14" s="52">
        <v>46252</v>
      </c>
      <c r="BD14" s="52">
        <v>46253</v>
      </c>
      <c r="BE14" s="52">
        <v>46254</v>
      </c>
      <c r="BF14" s="53">
        <v>46255</v>
      </c>
      <c r="BG14" s="51">
        <v>46258</v>
      </c>
      <c r="BH14" s="52">
        <v>46259</v>
      </c>
      <c r="BI14" s="52">
        <v>46260</v>
      </c>
      <c r="BJ14" s="52">
        <v>46261</v>
      </c>
      <c r="BK14" s="53">
        <v>46262</v>
      </c>
      <c r="BL14" s="51">
        <v>46265</v>
      </c>
      <c r="BM14" s="52">
        <v>46266</v>
      </c>
      <c r="BN14" s="52">
        <v>46267</v>
      </c>
      <c r="BO14" s="52">
        <v>46268</v>
      </c>
      <c r="BP14" s="53">
        <v>46269</v>
      </c>
      <c r="BQ14" s="51">
        <v>46272</v>
      </c>
      <c r="BR14" s="52">
        <v>46273</v>
      </c>
      <c r="BS14" s="52">
        <v>46274</v>
      </c>
      <c r="BT14" s="52">
        <v>46275</v>
      </c>
      <c r="BU14" s="53">
        <v>46276</v>
      </c>
      <c r="BV14" s="51">
        <v>46279</v>
      </c>
      <c r="BW14" s="52">
        <v>46280</v>
      </c>
      <c r="BX14" s="52">
        <v>46281</v>
      </c>
      <c r="BY14" s="52">
        <v>46282</v>
      </c>
      <c r="BZ14" s="53">
        <v>46283</v>
      </c>
      <c r="CA14" s="51">
        <v>46286</v>
      </c>
      <c r="CB14" s="52">
        <v>46287</v>
      </c>
      <c r="CC14" s="52">
        <v>46288</v>
      </c>
      <c r="CD14" s="52">
        <v>46289</v>
      </c>
      <c r="CE14" s="53">
        <v>46290</v>
      </c>
      <c r="CF14" s="51">
        <v>46293</v>
      </c>
      <c r="CG14" s="52">
        <v>46294</v>
      </c>
      <c r="CH14" s="52">
        <v>46295</v>
      </c>
      <c r="CI14" s="52">
        <v>46296</v>
      </c>
      <c r="CJ14" s="53">
        <v>46297</v>
      </c>
      <c r="CK14" s="51">
        <f t="shared" si="32"/>
        <v>46300</v>
      </c>
      <c r="CL14" s="52">
        <f t="shared" ref="CL14:CO14" si="159">CK14+1</f>
        <v>46301</v>
      </c>
      <c r="CM14" s="52">
        <f t="shared" si="159"/>
        <v>46302</v>
      </c>
      <c r="CN14" s="52">
        <f t="shared" si="159"/>
        <v>46303</v>
      </c>
      <c r="CO14" s="53">
        <f t="shared" si="159"/>
        <v>46304</v>
      </c>
      <c r="CP14" s="51">
        <f t="shared" si="61"/>
        <v>46307</v>
      </c>
      <c r="CQ14" s="52">
        <f t="shared" ref="CQ14:CT14" si="160">CP14+1</f>
        <v>46308</v>
      </c>
      <c r="CR14" s="52">
        <f t="shared" si="160"/>
        <v>46309</v>
      </c>
      <c r="CS14" s="52">
        <f t="shared" si="160"/>
        <v>46310</v>
      </c>
      <c r="CT14" s="53">
        <f t="shared" si="160"/>
        <v>46311</v>
      </c>
      <c r="CU14" s="51">
        <f t="shared" si="35"/>
        <v>46314</v>
      </c>
      <c r="CV14" s="52">
        <f t="shared" ref="CV14:CY14" si="161">CU14+1</f>
        <v>46315</v>
      </c>
      <c r="CW14" s="52">
        <f t="shared" si="161"/>
        <v>46316</v>
      </c>
      <c r="CX14" s="52">
        <f t="shared" si="161"/>
        <v>46317</v>
      </c>
      <c r="CY14" s="53">
        <f t="shared" si="161"/>
        <v>46318</v>
      </c>
      <c r="CZ14" s="51">
        <f t="shared" si="37"/>
        <v>46321</v>
      </c>
      <c r="DA14" s="52">
        <f t="shared" ref="DA14:DD14" si="162">CZ14+1</f>
        <v>46322</v>
      </c>
      <c r="DB14" s="52">
        <f t="shared" si="162"/>
        <v>46323</v>
      </c>
      <c r="DC14" s="52">
        <f t="shared" si="162"/>
        <v>46324</v>
      </c>
      <c r="DD14" s="53">
        <f t="shared" si="162"/>
        <v>46325</v>
      </c>
      <c r="DE14" s="51">
        <f t="shared" si="39"/>
        <v>46328</v>
      </c>
      <c r="DF14" s="52">
        <f t="shared" ref="DF14:DI14" si="163">DE14+1</f>
        <v>46329</v>
      </c>
      <c r="DG14" s="52">
        <f t="shared" si="163"/>
        <v>46330</v>
      </c>
      <c r="DH14" s="52">
        <f t="shared" si="163"/>
        <v>46331</v>
      </c>
      <c r="DI14" s="53">
        <f t="shared" si="163"/>
        <v>46332</v>
      </c>
      <c r="DJ14" s="51">
        <f t="shared" si="41"/>
        <v>46335</v>
      </c>
      <c r="DK14" s="52">
        <f t="shared" ref="DK14:DN14" si="164">DJ14+1</f>
        <v>46336</v>
      </c>
      <c r="DL14" s="52">
        <f t="shared" si="164"/>
        <v>46337</v>
      </c>
      <c r="DM14" s="52">
        <f t="shared" si="164"/>
        <v>46338</v>
      </c>
      <c r="DN14" s="53">
        <f t="shared" si="164"/>
        <v>46339</v>
      </c>
      <c r="DO14" s="51">
        <f t="shared" si="43"/>
        <v>46342</v>
      </c>
      <c r="DP14" s="52">
        <f t="shared" ref="DP14:DS14" si="165">DO14+1</f>
        <v>46343</v>
      </c>
      <c r="DQ14" s="52">
        <f t="shared" si="165"/>
        <v>46344</v>
      </c>
      <c r="DR14" s="52">
        <f t="shared" si="165"/>
        <v>46345</v>
      </c>
      <c r="DS14" s="53">
        <f t="shared" si="165"/>
        <v>46346</v>
      </c>
      <c r="DT14" s="51">
        <f t="shared" si="45"/>
        <v>46349</v>
      </c>
      <c r="DU14" s="52">
        <f t="shared" ref="DU14:DX14" si="166">DT14+1</f>
        <v>46350</v>
      </c>
      <c r="DV14" s="52">
        <f t="shared" si="166"/>
        <v>46351</v>
      </c>
      <c r="DW14" s="52">
        <f t="shared" si="166"/>
        <v>46352</v>
      </c>
      <c r="DX14" s="53">
        <f t="shared" si="166"/>
        <v>46353</v>
      </c>
      <c r="DY14" s="51">
        <f t="shared" si="47"/>
        <v>46356</v>
      </c>
      <c r="DZ14" s="52">
        <f t="shared" ref="DZ14:EC14" si="167">DY14+1</f>
        <v>46357</v>
      </c>
      <c r="EA14" s="52">
        <f t="shared" si="167"/>
        <v>46358</v>
      </c>
      <c r="EB14" s="52">
        <f t="shared" si="167"/>
        <v>46359</v>
      </c>
      <c r="EC14" s="53">
        <f t="shared" si="167"/>
        <v>46360</v>
      </c>
      <c r="ED14" s="51">
        <f t="shared" si="49"/>
        <v>46363</v>
      </c>
      <c r="EE14" s="52">
        <f t="shared" ref="EE14:EH14" si="168">ED14+1</f>
        <v>46364</v>
      </c>
      <c r="EF14" s="52">
        <f t="shared" si="168"/>
        <v>46365</v>
      </c>
      <c r="EG14" s="52">
        <f t="shared" si="168"/>
        <v>46366</v>
      </c>
      <c r="EH14" s="53">
        <f t="shared" si="168"/>
        <v>46367</v>
      </c>
      <c r="EI14" s="51">
        <f t="shared" si="51"/>
        <v>46370</v>
      </c>
      <c r="EJ14" s="52">
        <f t="shared" ref="EJ14:EM14" si="169">EI14+1</f>
        <v>46371</v>
      </c>
      <c r="EK14" s="52">
        <f t="shared" si="169"/>
        <v>46372</v>
      </c>
      <c r="EL14" s="52">
        <f t="shared" si="169"/>
        <v>46373</v>
      </c>
      <c r="EM14" s="53">
        <f t="shared" si="169"/>
        <v>46374</v>
      </c>
      <c r="EN14" s="51">
        <f t="shared" si="53"/>
        <v>46377</v>
      </c>
      <c r="EO14" s="52">
        <f t="shared" ref="EO14:ER14" si="170">EN14+1</f>
        <v>46378</v>
      </c>
      <c r="EP14" s="52">
        <f t="shared" si="170"/>
        <v>46379</v>
      </c>
      <c r="EQ14" s="52">
        <f t="shared" si="170"/>
        <v>46380</v>
      </c>
      <c r="ER14" s="53">
        <f t="shared" si="170"/>
        <v>46381</v>
      </c>
      <c r="ES14" s="51">
        <f t="shared" si="55"/>
        <v>46384</v>
      </c>
      <c r="ET14" s="52">
        <f t="shared" ref="ET14:EW14" si="171">ES14+1</f>
        <v>46385</v>
      </c>
      <c r="EU14" s="52">
        <f t="shared" si="171"/>
        <v>46386</v>
      </c>
      <c r="EV14" s="52">
        <f t="shared" si="171"/>
        <v>46387</v>
      </c>
      <c r="EW14" s="53">
        <f t="shared" si="171"/>
        <v>46388</v>
      </c>
      <c r="EX14" s="51">
        <f t="shared" si="57"/>
        <v>46391</v>
      </c>
      <c r="EY14" s="52">
        <f t="shared" si="58"/>
        <v>46392</v>
      </c>
      <c r="EZ14" s="52" t="e">
        <f t="shared" si="29"/>
        <v>#REF!</v>
      </c>
      <c r="FA14" s="52" t="e">
        <f t="shared" si="29"/>
        <v>#REF!</v>
      </c>
      <c r="FB14" s="53" t="e">
        <f t="shared" si="29"/>
        <v>#REF!</v>
      </c>
    </row>
    <row r="15" spans="1:158" ht="18" customHeight="1" outlineLevel="2">
      <c r="A15" s="26"/>
      <c r="B15" s="34"/>
      <c r="C15" s="34"/>
      <c r="D15" s="41" t="s">
        <v>78</v>
      </c>
      <c r="E15" s="42"/>
      <c r="F15" s="43"/>
      <c r="G15" s="60"/>
      <c r="H15" s="71" t="s">
        <v>18</v>
      </c>
      <c r="I15" s="71" t="s">
        <v>18</v>
      </c>
      <c r="J15" s="72" t="s">
        <v>18</v>
      </c>
      <c r="K15" s="73"/>
      <c r="L15" s="74"/>
      <c r="M15" s="46">
        <v>46209</v>
      </c>
      <c r="N15" s="47">
        <v>46219</v>
      </c>
      <c r="O15" s="48">
        <f>(4/132/2)</f>
        <v>1.5151515151515152E-2</v>
      </c>
      <c r="P15" s="48"/>
      <c r="Q15" s="49"/>
      <c r="R15" s="48"/>
      <c r="S15" s="51">
        <f t="shared" si="30"/>
        <v>46202</v>
      </c>
      <c r="T15" s="52">
        <f t="shared" ref="T15:W15" si="172">S15+1</f>
        <v>46203</v>
      </c>
      <c r="U15" s="52">
        <f t="shared" si="172"/>
        <v>46204</v>
      </c>
      <c r="V15" s="52">
        <f t="shared" si="172"/>
        <v>46205</v>
      </c>
      <c r="W15" s="53">
        <f t="shared" si="172"/>
        <v>46206</v>
      </c>
      <c r="X15" s="51">
        <v>46209</v>
      </c>
      <c r="Y15" s="52">
        <v>46210</v>
      </c>
      <c r="Z15" s="52">
        <v>46211</v>
      </c>
      <c r="AA15" s="52">
        <v>46212</v>
      </c>
      <c r="AB15" s="53">
        <v>46213</v>
      </c>
      <c r="AC15" s="51">
        <v>46216</v>
      </c>
      <c r="AD15" s="52">
        <v>46217</v>
      </c>
      <c r="AE15" s="52">
        <v>46218</v>
      </c>
      <c r="AF15" s="52">
        <v>46219</v>
      </c>
      <c r="AG15" s="53">
        <v>46220</v>
      </c>
      <c r="AH15" s="51">
        <v>46223</v>
      </c>
      <c r="AI15" s="52">
        <v>46224</v>
      </c>
      <c r="AJ15" s="52">
        <v>46225</v>
      </c>
      <c r="AK15" s="52">
        <v>46226</v>
      </c>
      <c r="AL15" s="53">
        <v>46227</v>
      </c>
      <c r="AM15" s="51">
        <v>46230</v>
      </c>
      <c r="AN15" s="52">
        <v>46231</v>
      </c>
      <c r="AO15" s="52">
        <v>46232</v>
      </c>
      <c r="AP15" s="52">
        <v>46233</v>
      </c>
      <c r="AQ15" s="53">
        <v>46234</v>
      </c>
      <c r="AR15" s="51">
        <v>46237</v>
      </c>
      <c r="AS15" s="52">
        <v>46238</v>
      </c>
      <c r="AT15" s="52">
        <v>46239</v>
      </c>
      <c r="AU15" s="52">
        <v>46240</v>
      </c>
      <c r="AV15" s="53">
        <v>46241</v>
      </c>
      <c r="AW15" s="51">
        <v>46244</v>
      </c>
      <c r="AX15" s="52">
        <v>46245</v>
      </c>
      <c r="AY15" s="52">
        <v>46246</v>
      </c>
      <c r="AZ15" s="52">
        <v>46247</v>
      </c>
      <c r="BA15" s="53">
        <v>46248</v>
      </c>
      <c r="BB15" s="51">
        <v>46251</v>
      </c>
      <c r="BC15" s="52">
        <v>46252</v>
      </c>
      <c r="BD15" s="52">
        <v>46253</v>
      </c>
      <c r="BE15" s="52">
        <v>46254</v>
      </c>
      <c r="BF15" s="53">
        <v>46255</v>
      </c>
      <c r="BG15" s="51">
        <v>46258</v>
      </c>
      <c r="BH15" s="52">
        <v>46259</v>
      </c>
      <c r="BI15" s="52">
        <v>46260</v>
      </c>
      <c r="BJ15" s="52">
        <v>46261</v>
      </c>
      <c r="BK15" s="53">
        <v>46262</v>
      </c>
      <c r="BL15" s="51">
        <v>46265</v>
      </c>
      <c r="BM15" s="52">
        <v>46266</v>
      </c>
      <c r="BN15" s="52">
        <v>46267</v>
      </c>
      <c r="BO15" s="52">
        <v>46268</v>
      </c>
      <c r="BP15" s="53">
        <v>46269</v>
      </c>
      <c r="BQ15" s="51">
        <v>46272</v>
      </c>
      <c r="BR15" s="52">
        <v>46273</v>
      </c>
      <c r="BS15" s="52">
        <v>46274</v>
      </c>
      <c r="BT15" s="52">
        <v>46275</v>
      </c>
      <c r="BU15" s="53">
        <v>46276</v>
      </c>
      <c r="BV15" s="51">
        <v>46279</v>
      </c>
      <c r="BW15" s="52">
        <v>46280</v>
      </c>
      <c r="BX15" s="52">
        <v>46281</v>
      </c>
      <c r="BY15" s="52">
        <v>46282</v>
      </c>
      <c r="BZ15" s="53">
        <v>46283</v>
      </c>
      <c r="CA15" s="51">
        <v>46286</v>
      </c>
      <c r="CB15" s="52">
        <v>46287</v>
      </c>
      <c r="CC15" s="52">
        <v>46288</v>
      </c>
      <c r="CD15" s="52">
        <v>46289</v>
      </c>
      <c r="CE15" s="53">
        <v>46290</v>
      </c>
      <c r="CF15" s="51">
        <v>46293</v>
      </c>
      <c r="CG15" s="52">
        <v>46294</v>
      </c>
      <c r="CH15" s="52">
        <v>46295</v>
      </c>
      <c r="CI15" s="52">
        <v>46296</v>
      </c>
      <c r="CJ15" s="53">
        <v>46297</v>
      </c>
      <c r="CK15" s="51">
        <f t="shared" si="32"/>
        <v>46300</v>
      </c>
      <c r="CL15" s="52">
        <f t="shared" ref="CL15:CO15" si="173">CK15+1</f>
        <v>46301</v>
      </c>
      <c r="CM15" s="52">
        <f t="shared" si="173"/>
        <v>46302</v>
      </c>
      <c r="CN15" s="52">
        <f t="shared" si="173"/>
        <v>46303</v>
      </c>
      <c r="CO15" s="53">
        <f t="shared" si="173"/>
        <v>46304</v>
      </c>
      <c r="CP15" s="51">
        <f t="shared" si="61"/>
        <v>46307</v>
      </c>
      <c r="CQ15" s="52">
        <f t="shared" ref="CQ15:CT15" si="174">CP15+1</f>
        <v>46308</v>
      </c>
      <c r="CR15" s="52">
        <f t="shared" si="174"/>
        <v>46309</v>
      </c>
      <c r="CS15" s="52">
        <f t="shared" si="174"/>
        <v>46310</v>
      </c>
      <c r="CT15" s="53">
        <f t="shared" si="174"/>
        <v>46311</v>
      </c>
      <c r="CU15" s="51">
        <f t="shared" si="35"/>
        <v>46314</v>
      </c>
      <c r="CV15" s="52">
        <f t="shared" ref="CV15:CY15" si="175">CU15+1</f>
        <v>46315</v>
      </c>
      <c r="CW15" s="52">
        <f t="shared" si="175"/>
        <v>46316</v>
      </c>
      <c r="CX15" s="52">
        <f t="shared" si="175"/>
        <v>46317</v>
      </c>
      <c r="CY15" s="53">
        <f t="shared" si="175"/>
        <v>46318</v>
      </c>
      <c r="CZ15" s="51">
        <f t="shared" si="37"/>
        <v>46321</v>
      </c>
      <c r="DA15" s="52">
        <f t="shared" ref="DA15:DD15" si="176">CZ15+1</f>
        <v>46322</v>
      </c>
      <c r="DB15" s="52">
        <f t="shared" si="176"/>
        <v>46323</v>
      </c>
      <c r="DC15" s="52">
        <f t="shared" si="176"/>
        <v>46324</v>
      </c>
      <c r="DD15" s="53">
        <f t="shared" si="176"/>
        <v>46325</v>
      </c>
      <c r="DE15" s="51">
        <f t="shared" si="39"/>
        <v>46328</v>
      </c>
      <c r="DF15" s="52">
        <f t="shared" ref="DF15:DI15" si="177">DE15+1</f>
        <v>46329</v>
      </c>
      <c r="DG15" s="52">
        <f t="shared" si="177"/>
        <v>46330</v>
      </c>
      <c r="DH15" s="52">
        <f t="shared" si="177"/>
        <v>46331</v>
      </c>
      <c r="DI15" s="53">
        <f t="shared" si="177"/>
        <v>46332</v>
      </c>
      <c r="DJ15" s="51">
        <f t="shared" si="41"/>
        <v>46335</v>
      </c>
      <c r="DK15" s="52">
        <f t="shared" ref="DK15:DN15" si="178">DJ15+1</f>
        <v>46336</v>
      </c>
      <c r="DL15" s="52">
        <f t="shared" si="178"/>
        <v>46337</v>
      </c>
      <c r="DM15" s="52">
        <f t="shared" si="178"/>
        <v>46338</v>
      </c>
      <c r="DN15" s="53">
        <f t="shared" si="178"/>
        <v>46339</v>
      </c>
      <c r="DO15" s="51">
        <f t="shared" si="43"/>
        <v>46342</v>
      </c>
      <c r="DP15" s="52">
        <f t="shared" ref="DP15:DS15" si="179">DO15+1</f>
        <v>46343</v>
      </c>
      <c r="DQ15" s="52">
        <f t="shared" si="179"/>
        <v>46344</v>
      </c>
      <c r="DR15" s="52">
        <f t="shared" si="179"/>
        <v>46345</v>
      </c>
      <c r="DS15" s="53">
        <f t="shared" si="179"/>
        <v>46346</v>
      </c>
      <c r="DT15" s="51">
        <f t="shared" si="45"/>
        <v>46349</v>
      </c>
      <c r="DU15" s="52">
        <f t="shared" ref="DU15:DX15" si="180">DT15+1</f>
        <v>46350</v>
      </c>
      <c r="DV15" s="52">
        <f t="shared" si="180"/>
        <v>46351</v>
      </c>
      <c r="DW15" s="52">
        <f t="shared" si="180"/>
        <v>46352</v>
      </c>
      <c r="DX15" s="53">
        <f t="shared" si="180"/>
        <v>46353</v>
      </c>
      <c r="DY15" s="51">
        <f t="shared" si="47"/>
        <v>46356</v>
      </c>
      <c r="DZ15" s="52">
        <f t="shared" ref="DZ15:EC15" si="181">DY15+1</f>
        <v>46357</v>
      </c>
      <c r="EA15" s="52">
        <f t="shared" si="181"/>
        <v>46358</v>
      </c>
      <c r="EB15" s="52">
        <f t="shared" si="181"/>
        <v>46359</v>
      </c>
      <c r="EC15" s="53">
        <f t="shared" si="181"/>
        <v>46360</v>
      </c>
      <c r="ED15" s="51">
        <f t="shared" si="49"/>
        <v>46363</v>
      </c>
      <c r="EE15" s="52">
        <f t="shared" ref="EE15:EH15" si="182">ED15+1</f>
        <v>46364</v>
      </c>
      <c r="EF15" s="52">
        <f t="shared" si="182"/>
        <v>46365</v>
      </c>
      <c r="EG15" s="52">
        <f t="shared" si="182"/>
        <v>46366</v>
      </c>
      <c r="EH15" s="53">
        <f t="shared" si="182"/>
        <v>46367</v>
      </c>
      <c r="EI15" s="51">
        <f t="shared" si="51"/>
        <v>46370</v>
      </c>
      <c r="EJ15" s="52">
        <f t="shared" ref="EJ15:EM15" si="183">EI15+1</f>
        <v>46371</v>
      </c>
      <c r="EK15" s="52">
        <f t="shared" si="183"/>
        <v>46372</v>
      </c>
      <c r="EL15" s="52">
        <f t="shared" si="183"/>
        <v>46373</v>
      </c>
      <c r="EM15" s="53">
        <f t="shared" si="183"/>
        <v>46374</v>
      </c>
      <c r="EN15" s="51">
        <f t="shared" si="53"/>
        <v>46377</v>
      </c>
      <c r="EO15" s="52">
        <f t="shared" ref="EO15:ER15" si="184">EN15+1</f>
        <v>46378</v>
      </c>
      <c r="EP15" s="52">
        <f t="shared" si="184"/>
        <v>46379</v>
      </c>
      <c r="EQ15" s="52">
        <f t="shared" si="184"/>
        <v>46380</v>
      </c>
      <c r="ER15" s="53">
        <f t="shared" si="184"/>
        <v>46381</v>
      </c>
      <c r="ES15" s="51">
        <f t="shared" si="55"/>
        <v>46384</v>
      </c>
      <c r="ET15" s="52">
        <f t="shared" ref="ET15:EW15" si="185">ES15+1</f>
        <v>46385</v>
      </c>
      <c r="EU15" s="52">
        <f t="shared" si="185"/>
        <v>46386</v>
      </c>
      <c r="EV15" s="52">
        <f t="shared" si="185"/>
        <v>46387</v>
      </c>
      <c r="EW15" s="53">
        <f t="shared" si="185"/>
        <v>46388</v>
      </c>
      <c r="EX15" s="51">
        <f t="shared" si="57"/>
        <v>46391</v>
      </c>
      <c r="EY15" s="52">
        <f t="shared" si="58"/>
        <v>46392</v>
      </c>
      <c r="EZ15" s="52">
        <f t="shared" si="29"/>
        <v>46393</v>
      </c>
      <c r="FA15" s="52" t="e">
        <f t="shared" si="29"/>
        <v>#REF!</v>
      </c>
      <c r="FB15" s="53" t="e">
        <f t="shared" si="29"/>
        <v>#REF!</v>
      </c>
    </row>
    <row r="16" spans="1:158" ht="18" customHeight="1" outlineLevel="2">
      <c r="A16" s="26"/>
      <c r="B16" s="34"/>
      <c r="C16" s="34"/>
      <c r="D16" s="2" t="s">
        <v>19</v>
      </c>
      <c r="E16" s="42"/>
      <c r="F16" s="43"/>
      <c r="G16" s="60"/>
      <c r="H16" s="71" t="s">
        <v>18</v>
      </c>
      <c r="I16" s="71" t="s">
        <v>18</v>
      </c>
      <c r="J16" s="72" t="s">
        <v>18</v>
      </c>
      <c r="K16" s="73"/>
      <c r="L16" s="74" t="s">
        <v>125</v>
      </c>
      <c r="M16" s="46">
        <v>46216</v>
      </c>
      <c r="N16" s="47">
        <v>46227</v>
      </c>
      <c r="O16" s="48">
        <f>4/132/5+3/132/2</f>
        <v>1.7424242424242425E-2</v>
      </c>
      <c r="P16" s="14"/>
      <c r="Q16" s="15"/>
      <c r="R16" s="14"/>
      <c r="S16" s="51">
        <f t="shared" si="30"/>
        <v>46202</v>
      </c>
      <c r="T16" s="52">
        <f t="shared" ref="T16:W17" si="186">S16+1</f>
        <v>46203</v>
      </c>
      <c r="U16" s="52">
        <f t="shared" si="186"/>
        <v>46204</v>
      </c>
      <c r="V16" s="52">
        <f t="shared" si="186"/>
        <v>46205</v>
      </c>
      <c r="W16" s="53">
        <f t="shared" si="186"/>
        <v>46206</v>
      </c>
      <c r="X16" s="51">
        <v>46209</v>
      </c>
      <c r="Y16" s="52">
        <v>46210</v>
      </c>
      <c r="Z16" s="52">
        <v>46211</v>
      </c>
      <c r="AA16" s="52">
        <v>46212</v>
      </c>
      <c r="AB16" s="53">
        <v>46213</v>
      </c>
      <c r="AC16" s="51">
        <v>46216</v>
      </c>
      <c r="AD16" s="52">
        <v>46217</v>
      </c>
      <c r="AE16" s="52">
        <v>46218</v>
      </c>
      <c r="AF16" s="52">
        <v>46219</v>
      </c>
      <c r="AG16" s="53">
        <v>46220</v>
      </c>
      <c r="AH16" s="51">
        <v>46223</v>
      </c>
      <c r="AI16" s="52">
        <v>46224</v>
      </c>
      <c r="AJ16" s="52">
        <v>46225</v>
      </c>
      <c r="AK16" s="52">
        <v>46226</v>
      </c>
      <c r="AL16" s="53">
        <v>46227</v>
      </c>
      <c r="AM16" s="51">
        <v>46230</v>
      </c>
      <c r="AN16" s="52">
        <v>46231</v>
      </c>
      <c r="AO16" s="52">
        <v>46232</v>
      </c>
      <c r="AP16" s="52">
        <v>46233</v>
      </c>
      <c r="AQ16" s="53">
        <v>46234</v>
      </c>
      <c r="AR16" s="51">
        <v>46237</v>
      </c>
      <c r="AS16" s="52">
        <v>46238</v>
      </c>
      <c r="AT16" s="52">
        <v>46239</v>
      </c>
      <c r="AU16" s="52">
        <v>46240</v>
      </c>
      <c r="AV16" s="53">
        <v>46241</v>
      </c>
      <c r="AW16" s="51">
        <v>46244</v>
      </c>
      <c r="AX16" s="52">
        <v>46245</v>
      </c>
      <c r="AY16" s="52">
        <v>46246</v>
      </c>
      <c r="AZ16" s="52">
        <v>46247</v>
      </c>
      <c r="BA16" s="53">
        <v>46248</v>
      </c>
      <c r="BB16" s="51">
        <v>46251</v>
      </c>
      <c r="BC16" s="52">
        <v>46252</v>
      </c>
      <c r="BD16" s="52">
        <v>46253</v>
      </c>
      <c r="BE16" s="52">
        <v>46254</v>
      </c>
      <c r="BF16" s="53">
        <v>46255</v>
      </c>
      <c r="BG16" s="51">
        <v>46258</v>
      </c>
      <c r="BH16" s="52">
        <v>46259</v>
      </c>
      <c r="BI16" s="52">
        <v>46260</v>
      </c>
      <c r="BJ16" s="52">
        <v>46261</v>
      </c>
      <c r="BK16" s="53">
        <v>46262</v>
      </c>
      <c r="BL16" s="51">
        <v>46265</v>
      </c>
      <c r="BM16" s="52">
        <v>46266</v>
      </c>
      <c r="BN16" s="52">
        <v>46267</v>
      </c>
      <c r="BO16" s="52">
        <v>46268</v>
      </c>
      <c r="BP16" s="53">
        <v>46269</v>
      </c>
      <c r="BQ16" s="51">
        <v>46272</v>
      </c>
      <c r="BR16" s="52">
        <v>46273</v>
      </c>
      <c r="BS16" s="52">
        <v>46274</v>
      </c>
      <c r="BT16" s="52">
        <v>46275</v>
      </c>
      <c r="BU16" s="53">
        <v>46276</v>
      </c>
      <c r="BV16" s="51">
        <v>46279</v>
      </c>
      <c r="BW16" s="52">
        <v>46280</v>
      </c>
      <c r="BX16" s="52">
        <v>46281</v>
      </c>
      <c r="BY16" s="52">
        <v>46282</v>
      </c>
      <c r="BZ16" s="53">
        <v>46283</v>
      </c>
      <c r="CA16" s="51">
        <v>46286</v>
      </c>
      <c r="CB16" s="52">
        <v>46287</v>
      </c>
      <c r="CC16" s="52">
        <v>46288</v>
      </c>
      <c r="CD16" s="52">
        <v>46289</v>
      </c>
      <c r="CE16" s="53">
        <v>46290</v>
      </c>
      <c r="CF16" s="51">
        <v>46293</v>
      </c>
      <c r="CG16" s="52">
        <v>46294</v>
      </c>
      <c r="CH16" s="52">
        <v>46295</v>
      </c>
      <c r="CI16" s="52">
        <v>46296</v>
      </c>
      <c r="CJ16" s="53">
        <v>46297</v>
      </c>
      <c r="CK16" s="51">
        <f t="shared" si="32"/>
        <v>46300</v>
      </c>
      <c r="CL16" s="52">
        <f t="shared" ref="CL16:CO17" si="187">CK16+1</f>
        <v>46301</v>
      </c>
      <c r="CM16" s="52">
        <f t="shared" si="187"/>
        <v>46302</v>
      </c>
      <c r="CN16" s="52">
        <f t="shared" si="187"/>
        <v>46303</v>
      </c>
      <c r="CO16" s="53">
        <f t="shared" si="187"/>
        <v>46304</v>
      </c>
      <c r="CP16" s="51">
        <f t="shared" si="61"/>
        <v>46307</v>
      </c>
      <c r="CQ16" s="52">
        <f t="shared" ref="CQ16:CT17" si="188">CP16+1</f>
        <v>46308</v>
      </c>
      <c r="CR16" s="52">
        <f t="shared" si="188"/>
        <v>46309</v>
      </c>
      <c r="CS16" s="52">
        <f t="shared" si="188"/>
        <v>46310</v>
      </c>
      <c r="CT16" s="53">
        <f t="shared" si="188"/>
        <v>46311</v>
      </c>
      <c r="CU16" s="51">
        <f t="shared" si="35"/>
        <v>46314</v>
      </c>
      <c r="CV16" s="52">
        <f t="shared" ref="CV16:CY17" si="189">CU16+1</f>
        <v>46315</v>
      </c>
      <c r="CW16" s="52">
        <f t="shared" si="189"/>
        <v>46316</v>
      </c>
      <c r="CX16" s="52">
        <f t="shared" si="189"/>
        <v>46317</v>
      </c>
      <c r="CY16" s="53">
        <f t="shared" si="189"/>
        <v>46318</v>
      </c>
      <c r="CZ16" s="51">
        <f t="shared" si="37"/>
        <v>46321</v>
      </c>
      <c r="DA16" s="52">
        <f t="shared" ref="DA16:DD17" si="190">CZ16+1</f>
        <v>46322</v>
      </c>
      <c r="DB16" s="52">
        <f t="shared" si="190"/>
        <v>46323</v>
      </c>
      <c r="DC16" s="52">
        <f t="shared" si="190"/>
        <v>46324</v>
      </c>
      <c r="DD16" s="53">
        <f t="shared" si="190"/>
        <v>46325</v>
      </c>
      <c r="DE16" s="51">
        <f t="shared" si="39"/>
        <v>46328</v>
      </c>
      <c r="DF16" s="52">
        <f t="shared" ref="DF16:DI17" si="191">DE16+1</f>
        <v>46329</v>
      </c>
      <c r="DG16" s="52">
        <f t="shared" si="191"/>
        <v>46330</v>
      </c>
      <c r="DH16" s="52">
        <f t="shared" si="191"/>
        <v>46331</v>
      </c>
      <c r="DI16" s="53">
        <f t="shared" si="191"/>
        <v>46332</v>
      </c>
      <c r="DJ16" s="51">
        <f t="shared" si="41"/>
        <v>46335</v>
      </c>
      <c r="DK16" s="52">
        <f t="shared" ref="DK16:DN17" si="192">DJ16+1</f>
        <v>46336</v>
      </c>
      <c r="DL16" s="52">
        <f t="shared" si="192"/>
        <v>46337</v>
      </c>
      <c r="DM16" s="52">
        <f t="shared" si="192"/>
        <v>46338</v>
      </c>
      <c r="DN16" s="53">
        <f t="shared" si="192"/>
        <v>46339</v>
      </c>
      <c r="DO16" s="51">
        <f t="shared" si="43"/>
        <v>46342</v>
      </c>
      <c r="DP16" s="52">
        <f t="shared" ref="DP16:DS17" si="193">DO16+1</f>
        <v>46343</v>
      </c>
      <c r="DQ16" s="52">
        <f t="shared" si="193"/>
        <v>46344</v>
      </c>
      <c r="DR16" s="52">
        <f t="shared" si="193"/>
        <v>46345</v>
      </c>
      <c r="DS16" s="53">
        <f t="shared" si="193"/>
        <v>46346</v>
      </c>
      <c r="DT16" s="51">
        <f t="shared" si="45"/>
        <v>46349</v>
      </c>
      <c r="DU16" s="52">
        <f t="shared" ref="DU16:DX17" si="194">DT16+1</f>
        <v>46350</v>
      </c>
      <c r="DV16" s="52">
        <f t="shared" si="194"/>
        <v>46351</v>
      </c>
      <c r="DW16" s="52">
        <f t="shared" si="194"/>
        <v>46352</v>
      </c>
      <c r="DX16" s="53">
        <f t="shared" si="194"/>
        <v>46353</v>
      </c>
      <c r="DY16" s="51">
        <f t="shared" si="47"/>
        <v>46356</v>
      </c>
      <c r="DZ16" s="52">
        <f t="shared" ref="DZ16:EC17" si="195">DY16+1</f>
        <v>46357</v>
      </c>
      <c r="EA16" s="52">
        <f t="shared" si="195"/>
        <v>46358</v>
      </c>
      <c r="EB16" s="52">
        <f t="shared" si="195"/>
        <v>46359</v>
      </c>
      <c r="EC16" s="53">
        <f t="shared" si="195"/>
        <v>46360</v>
      </c>
      <c r="ED16" s="51">
        <f t="shared" si="49"/>
        <v>46363</v>
      </c>
      <c r="EE16" s="52">
        <f t="shared" ref="EE16:EH17" si="196">ED16+1</f>
        <v>46364</v>
      </c>
      <c r="EF16" s="52">
        <f t="shared" si="196"/>
        <v>46365</v>
      </c>
      <c r="EG16" s="52">
        <f t="shared" si="196"/>
        <v>46366</v>
      </c>
      <c r="EH16" s="53">
        <f t="shared" si="196"/>
        <v>46367</v>
      </c>
      <c r="EI16" s="51">
        <f t="shared" si="51"/>
        <v>46370</v>
      </c>
      <c r="EJ16" s="52">
        <f t="shared" ref="EJ16:EM17" si="197">EI16+1</f>
        <v>46371</v>
      </c>
      <c r="EK16" s="52">
        <f t="shared" si="197"/>
        <v>46372</v>
      </c>
      <c r="EL16" s="52">
        <f t="shared" si="197"/>
        <v>46373</v>
      </c>
      <c r="EM16" s="53">
        <f t="shared" si="197"/>
        <v>46374</v>
      </c>
      <c r="EN16" s="51">
        <f t="shared" si="53"/>
        <v>46377</v>
      </c>
      <c r="EO16" s="52">
        <f t="shared" ref="EO16:ER17" si="198">EN16+1</f>
        <v>46378</v>
      </c>
      <c r="EP16" s="52">
        <f t="shared" si="198"/>
        <v>46379</v>
      </c>
      <c r="EQ16" s="52">
        <f t="shared" si="198"/>
        <v>46380</v>
      </c>
      <c r="ER16" s="53">
        <f t="shared" si="198"/>
        <v>46381</v>
      </c>
      <c r="ES16" s="51">
        <f t="shared" si="55"/>
        <v>46384</v>
      </c>
      <c r="ET16" s="52">
        <f t="shared" ref="ET16:EW17" si="199">ES16+1</f>
        <v>46385</v>
      </c>
      <c r="EU16" s="52">
        <f t="shared" si="199"/>
        <v>46386</v>
      </c>
      <c r="EV16" s="52">
        <f t="shared" si="199"/>
        <v>46387</v>
      </c>
      <c r="EW16" s="53">
        <f t="shared" si="199"/>
        <v>46388</v>
      </c>
      <c r="EX16" s="51">
        <f t="shared" si="57"/>
        <v>46391</v>
      </c>
      <c r="EY16" s="52">
        <f t="shared" si="58"/>
        <v>46392</v>
      </c>
      <c r="EZ16" s="52">
        <f t="shared" si="29"/>
        <v>46393</v>
      </c>
      <c r="FA16" s="52">
        <f t="shared" si="29"/>
        <v>46394</v>
      </c>
      <c r="FB16" s="53" t="e">
        <f t="shared" si="29"/>
        <v>#REF!</v>
      </c>
    </row>
    <row r="17" spans="1:158" ht="18" customHeight="1" outlineLevel="2">
      <c r="A17" s="26"/>
      <c r="B17" s="34"/>
      <c r="C17" s="34"/>
      <c r="D17" s="63" t="s">
        <v>80</v>
      </c>
      <c r="E17" s="42"/>
      <c r="F17" s="43"/>
      <c r="G17" s="60"/>
      <c r="H17" s="71" t="s">
        <v>18</v>
      </c>
      <c r="I17" s="71" t="s">
        <v>18</v>
      </c>
      <c r="J17" s="72" t="s">
        <v>18</v>
      </c>
      <c r="K17" s="73"/>
      <c r="L17" s="74"/>
      <c r="M17" s="46">
        <v>46223</v>
      </c>
      <c r="N17" s="47">
        <v>46234</v>
      </c>
      <c r="O17" s="14">
        <f>3/132/6+5/132/2</f>
        <v>2.2727272727272728E-2</v>
      </c>
      <c r="P17" s="14"/>
      <c r="Q17" s="15"/>
      <c r="R17" s="14"/>
      <c r="S17" s="51">
        <f t="shared" si="30"/>
        <v>46202</v>
      </c>
      <c r="T17" s="52">
        <f t="shared" si="186"/>
        <v>46203</v>
      </c>
      <c r="U17" s="52">
        <f t="shared" si="186"/>
        <v>46204</v>
      </c>
      <c r="V17" s="52">
        <f t="shared" si="186"/>
        <v>46205</v>
      </c>
      <c r="W17" s="53">
        <f t="shared" si="186"/>
        <v>46206</v>
      </c>
      <c r="X17" s="51">
        <v>46209</v>
      </c>
      <c r="Y17" s="52">
        <v>46210</v>
      </c>
      <c r="Z17" s="52">
        <v>46211</v>
      </c>
      <c r="AA17" s="52">
        <v>46212</v>
      </c>
      <c r="AB17" s="53">
        <v>46213</v>
      </c>
      <c r="AC17" s="51">
        <v>46216</v>
      </c>
      <c r="AD17" s="52">
        <v>46217</v>
      </c>
      <c r="AE17" s="52">
        <v>46218</v>
      </c>
      <c r="AF17" s="52">
        <v>46219</v>
      </c>
      <c r="AG17" s="53">
        <v>46220</v>
      </c>
      <c r="AH17" s="51">
        <v>46223</v>
      </c>
      <c r="AI17" s="52">
        <v>46224</v>
      </c>
      <c r="AJ17" s="52">
        <v>46225</v>
      </c>
      <c r="AK17" s="52">
        <v>46226</v>
      </c>
      <c r="AL17" s="53">
        <v>46227</v>
      </c>
      <c r="AM17" s="51">
        <v>46230</v>
      </c>
      <c r="AN17" s="52">
        <v>46231</v>
      </c>
      <c r="AO17" s="52">
        <v>46232</v>
      </c>
      <c r="AP17" s="52">
        <v>46233</v>
      </c>
      <c r="AQ17" s="53">
        <v>46234</v>
      </c>
      <c r="AR17" s="51">
        <v>46237</v>
      </c>
      <c r="AS17" s="52">
        <v>46238</v>
      </c>
      <c r="AT17" s="52">
        <v>46239</v>
      </c>
      <c r="AU17" s="52">
        <v>46240</v>
      </c>
      <c r="AV17" s="53">
        <v>46241</v>
      </c>
      <c r="AW17" s="51">
        <v>46244</v>
      </c>
      <c r="AX17" s="52">
        <v>46245</v>
      </c>
      <c r="AY17" s="52">
        <v>46246</v>
      </c>
      <c r="AZ17" s="52">
        <v>46247</v>
      </c>
      <c r="BA17" s="53">
        <v>46248</v>
      </c>
      <c r="BB17" s="51">
        <v>46251</v>
      </c>
      <c r="BC17" s="52">
        <v>46252</v>
      </c>
      <c r="BD17" s="52">
        <v>46253</v>
      </c>
      <c r="BE17" s="52">
        <v>46254</v>
      </c>
      <c r="BF17" s="53">
        <v>46255</v>
      </c>
      <c r="BG17" s="51">
        <v>46258</v>
      </c>
      <c r="BH17" s="52">
        <v>46259</v>
      </c>
      <c r="BI17" s="52">
        <v>46260</v>
      </c>
      <c r="BJ17" s="52">
        <v>46261</v>
      </c>
      <c r="BK17" s="53">
        <v>46262</v>
      </c>
      <c r="BL17" s="51">
        <v>46265</v>
      </c>
      <c r="BM17" s="52">
        <v>46266</v>
      </c>
      <c r="BN17" s="52">
        <v>46267</v>
      </c>
      <c r="BO17" s="52">
        <v>46268</v>
      </c>
      <c r="BP17" s="53">
        <v>46269</v>
      </c>
      <c r="BQ17" s="51">
        <v>46272</v>
      </c>
      <c r="BR17" s="52">
        <v>46273</v>
      </c>
      <c r="BS17" s="52">
        <v>46274</v>
      </c>
      <c r="BT17" s="52">
        <v>46275</v>
      </c>
      <c r="BU17" s="53">
        <v>46276</v>
      </c>
      <c r="BV17" s="51">
        <v>46279</v>
      </c>
      <c r="BW17" s="52">
        <v>46280</v>
      </c>
      <c r="BX17" s="52">
        <v>46281</v>
      </c>
      <c r="BY17" s="52">
        <v>46282</v>
      </c>
      <c r="BZ17" s="53">
        <v>46283</v>
      </c>
      <c r="CA17" s="51">
        <v>46286</v>
      </c>
      <c r="CB17" s="52">
        <v>46287</v>
      </c>
      <c r="CC17" s="52">
        <v>46288</v>
      </c>
      <c r="CD17" s="52">
        <v>46289</v>
      </c>
      <c r="CE17" s="53">
        <v>46290</v>
      </c>
      <c r="CF17" s="51">
        <v>46293</v>
      </c>
      <c r="CG17" s="52">
        <v>46294</v>
      </c>
      <c r="CH17" s="52">
        <v>46295</v>
      </c>
      <c r="CI17" s="52">
        <v>46296</v>
      </c>
      <c r="CJ17" s="53">
        <v>46297</v>
      </c>
      <c r="CK17" s="51">
        <f t="shared" si="32"/>
        <v>46300</v>
      </c>
      <c r="CL17" s="52">
        <f t="shared" si="187"/>
        <v>46301</v>
      </c>
      <c r="CM17" s="52">
        <f t="shared" si="187"/>
        <v>46302</v>
      </c>
      <c r="CN17" s="52">
        <f t="shared" si="187"/>
        <v>46303</v>
      </c>
      <c r="CO17" s="53">
        <f t="shared" si="187"/>
        <v>46304</v>
      </c>
      <c r="CP17" s="51">
        <f t="shared" si="61"/>
        <v>46307</v>
      </c>
      <c r="CQ17" s="52">
        <f t="shared" si="188"/>
        <v>46308</v>
      </c>
      <c r="CR17" s="52">
        <f t="shared" si="188"/>
        <v>46309</v>
      </c>
      <c r="CS17" s="52">
        <f t="shared" si="188"/>
        <v>46310</v>
      </c>
      <c r="CT17" s="53">
        <f t="shared" si="188"/>
        <v>46311</v>
      </c>
      <c r="CU17" s="51">
        <f t="shared" si="35"/>
        <v>46314</v>
      </c>
      <c r="CV17" s="52">
        <f t="shared" si="189"/>
        <v>46315</v>
      </c>
      <c r="CW17" s="52">
        <f t="shared" si="189"/>
        <v>46316</v>
      </c>
      <c r="CX17" s="52">
        <f t="shared" si="189"/>
        <v>46317</v>
      </c>
      <c r="CY17" s="53">
        <f t="shared" si="189"/>
        <v>46318</v>
      </c>
      <c r="CZ17" s="51">
        <f t="shared" si="37"/>
        <v>46321</v>
      </c>
      <c r="DA17" s="52">
        <f t="shared" si="190"/>
        <v>46322</v>
      </c>
      <c r="DB17" s="52">
        <f t="shared" si="190"/>
        <v>46323</v>
      </c>
      <c r="DC17" s="52">
        <f t="shared" si="190"/>
        <v>46324</v>
      </c>
      <c r="DD17" s="53">
        <f t="shared" si="190"/>
        <v>46325</v>
      </c>
      <c r="DE17" s="51">
        <f t="shared" si="39"/>
        <v>46328</v>
      </c>
      <c r="DF17" s="52">
        <f t="shared" si="191"/>
        <v>46329</v>
      </c>
      <c r="DG17" s="52">
        <f t="shared" si="191"/>
        <v>46330</v>
      </c>
      <c r="DH17" s="52">
        <f t="shared" si="191"/>
        <v>46331</v>
      </c>
      <c r="DI17" s="53">
        <f t="shared" si="191"/>
        <v>46332</v>
      </c>
      <c r="DJ17" s="51">
        <f t="shared" si="41"/>
        <v>46335</v>
      </c>
      <c r="DK17" s="52">
        <f t="shared" si="192"/>
        <v>46336</v>
      </c>
      <c r="DL17" s="52">
        <f t="shared" si="192"/>
        <v>46337</v>
      </c>
      <c r="DM17" s="52">
        <f t="shared" si="192"/>
        <v>46338</v>
      </c>
      <c r="DN17" s="53">
        <f t="shared" si="192"/>
        <v>46339</v>
      </c>
      <c r="DO17" s="51">
        <f t="shared" si="43"/>
        <v>46342</v>
      </c>
      <c r="DP17" s="52">
        <f t="shared" si="193"/>
        <v>46343</v>
      </c>
      <c r="DQ17" s="52">
        <f t="shared" si="193"/>
        <v>46344</v>
      </c>
      <c r="DR17" s="52">
        <f t="shared" si="193"/>
        <v>46345</v>
      </c>
      <c r="DS17" s="53">
        <f t="shared" si="193"/>
        <v>46346</v>
      </c>
      <c r="DT17" s="51">
        <f t="shared" si="45"/>
        <v>46349</v>
      </c>
      <c r="DU17" s="52">
        <f t="shared" si="194"/>
        <v>46350</v>
      </c>
      <c r="DV17" s="52">
        <f t="shared" si="194"/>
        <v>46351</v>
      </c>
      <c r="DW17" s="52">
        <f t="shared" si="194"/>
        <v>46352</v>
      </c>
      <c r="DX17" s="53">
        <f t="shared" si="194"/>
        <v>46353</v>
      </c>
      <c r="DY17" s="51">
        <f t="shared" si="47"/>
        <v>46356</v>
      </c>
      <c r="DZ17" s="52">
        <f t="shared" si="195"/>
        <v>46357</v>
      </c>
      <c r="EA17" s="52">
        <f t="shared" si="195"/>
        <v>46358</v>
      </c>
      <c r="EB17" s="52">
        <f t="shared" si="195"/>
        <v>46359</v>
      </c>
      <c r="EC17" s="53">
        <f t="shared" si="195"/>
        <v>46360</v>
      </c>
      <c r="ED17" s="51">
        <f t="shared" si="49"/>
        <v>46363</v>
      </c>
      <c r="EE17" s="52">
        <f t="shared" si="196"/>
        <v>46364</v>
      </c>
      <c r="EF17" s="52">
        <f t="shared" si="196"/>
        <v>46365</v>
      </c>
      <c r="EG17" s="52">
        <f t="shared" si="196"/>
        <v>46366</v>
      </c>
      <c r="EH17" s="53">
        <f t="shared" si="196"/>
        <v>46367</v>
      </c>
      <c r="EI17" s="51">
        <f t="shared" si="51"/>
        <v>46370</v>
      </c>
      <c r="EJ17" s="52">
        <f t="shared" si="197"/>
        <v>46371</v>
      </c>
      <c r="EK17" s="52">
        <f t="shared" si="197"/>
        <v>46372</v>
      </c>
      <c r="EL17" s="52">
        <f t="shared" si="197"/>
        <v>46373</v>
      </c>
      <c r="EM17" s="53">
        <f t="shared" si="197"/>
        <v>46374</v>
      </c>
      <c r="EN17" s="51">
        <f t="shared" si="53"/>
        <v>46377</v>
      </c>
      <c r="EO17" s="52">
        <f t="shared" si="198"/>
        <v>46378</v>
      </c>
      <c r="EP17" s="52">
        <f t="shared" si="198"/>
        <v>46379</v>
      </c>
      <c r="EQ17" s="52">
        <f t="shared" si="198"/>
        <v>46380</v>
      </c>
      <c r="ER17" s="53">
        <f t="shared" si="198"/>
        <v>46381</v>
      </c>
      <c r="ES17" s="51">
        <f t="shared" si="55"/>
        <v>46384</v>
      </c>
      <c r="ET17" s="52">
        <f t="shared" si="199"/>
        <v>46385</v>
      </c>
      <c r="EU17" s="52">
        <f t="shared" si="199"/>
        <v>46386</v>
      </c>
      <c r="EV17" s="52">
        <f t="shared" si="199"/>
        <v>46387</v>
      </c>
      <c r="EW17" s="53">
        <f t="shared" si="199"/>
        <v>46388</v>
      </c>
      <c r="EX17" s="51">
        <f t="shared" si="57"/>
        <v>46391</v>
      </c>
      <c r="EY17" s="52">
        <f t="shared" si="58"/>
        <v>46392</v>
      </c>
      <c r="EZ17" s="52">
        <f t="shared" si="29"/>
        <v>46393</v>
      </c>
      <c r="FA17" s="52">
        <f t="shared" si="29"/>
        <v>46394</v>
      </c>
      <c r="FB17" s="53">
        <f t="shared" si="29"/>
        <v>46395</v>
      </c>
    </row>
    <row r="18" spans="1:158" ht="18" customHeight="1" outlineLevel="2">
      <c r="A18" s="26"/>
      <c r="B18" s="34"/>
      <c r="C18" s="34"/>
      <c r="D18" s="2" t="s">
        <v>79</v>
      </c>
      <c r="E18" s="42"/>
      <c r="F18" s="43"/>
      <c r="G18" s="60"/>
      <c r="H18" s="71" t="s">
        <v>18</v>
      </c>
      <c r="I18" s="71" t="s">
        <v>18</v>
      </c>
      <c r="J18" s="72" t="s">
        <v>18</v>
      </c>
      <c r="K18" s="73"/>
      <c r="L18" s="74"/>
      <c r="M18" s="46">
        <v>46230</v>
      </c>
      <c r="N18" s="47">
        <v>46241</v>
      </c>
      <c r="O18" s="48">
        <f>(5/132/6+5/132/2)*2</f>
        <v>5.0505050505050504E-2</v>
      </c>
      <c r="P18" s="48"/>
      <c r="Q18" s="49"/>
      <c r="R18" s="48"/>
      <c r="S18" s="51">
        <f t="shared" si="30"/>
        <v>46202</v>
      </c>
      <c r="T18" s="52">
        <f t="shared" ref="T18:W18" si="200">S18+1</f>
        <v>46203</v>
      </c>
      <c r="U18" s="52">
        <f t="shared" si="200"/>
        <v>46204</v>
      </c>
      <c r="V18" s="52">
        <f t="shared" si="200"/>
        <v>46205</v>
      </c>
      <c r="W18" s="53">
        <f t="shared" si="200"/>
        <v>46206</v>
      </c>
      <c r="X18" s="51">
        <v>46209</v>
      </c>
      <c r="Y18" s="52">
        <v>46210</v>
      </c>
      <c r="Z18" s="52">
        <v>46211</v>
      </c>
      <c r="AA18" s="52">
        <v>46212</v>
      </c>
      <c r="AB18" s="53">
        <v>46213</v>
      </c>
      <c r="AC18" s="51">
        <v>46216</v>
      </c>
      <c r="AD18" s="52">
        <v>46217</v>
      </c>
      <c r="AE18" s="52">
        <v>46218</v>
      </c>
      <c r="AF18" s="52">
        <v>46219</v>
      </c>
      <c r="AG18" s="53">
        <v>46220</v>
      </c>
      <c r="AH18" s="51">
        <v>46223</v>
      </c>
      <c r="AI18" s="52">
        <v>46224</v>
      </c>
      <c r="AJ18" s="52">
        <v>46225</v>
      </c>
      <c r="AK18" s="52">
        <v>46226</v>
      </c>
      <c r="AL18" s="53">
        <v>46227</v>
      </c>
      <c r="AM18" s="51">
        <v>46230</v>
      </c>
      <c r="AN18" s="52">
        <v>46231</v>
      </c>
      <c r="AO18" s="52">
        <v>46232</v>
      </c>
      <c r="AP18" s="52">
        <v>46233</v>
      </c>
      <c r="AQ18" s="53">
        <v>46234</v>
      </c>
      <c r="AR18" s="51">
        <v>46237</v>
      </c>
      <c r="AS18" s="52">
        <v>46238</v>
      </c>
      <c r="AT18" s="52">
        <v>46239</v>
      </c>
      <c r="AU18" s="52">
        <v>46240</v>
      </c>
      <c r="AV18" s="53">
        <v>46241</v>
      </c>
      <c r="AW18" s="51">
        <v>46244</v>
      </c>
      <c r="AX18" s="52">
        <v>46245</v>
      </c>
      <c r="AY18" s="52">
        <v>46246</v>
      </c>
      <c r="AZ18" s="52">
        <v>46247</v>
      </c>
      <c r="BA18" s="53">
        <v>46248</v>
      </c>
      <c r="BB18" s="51">
        <v>46251</v>
      </c>
      <c r="BC18" s="52">
        <v>46252</v>
      </c>
      <c r="BD18" s="52">
        <v>46253</v>
      </c>
      <c r="BE18" s="52">
        <v>46254</v>
      </c>
      <c r="BF18" s="53">
        <v>46255</v>
      </c>
      <c r="BG18" s="51">
        <v>46258</v>
      </c>
      <c r="BH18" s="52">
        <v>46259</v>
      </c>
      <c r="BI18" s="52">
        <v>46260</v>
      </c>
      <c r="BJ18" s="52">
        <v>46261</v>
      </c>
      <c r="BK18" s="53">
        <v>46262</v>
      </c>
      <c r="BL18" s="51">
        <v>46265</v>
      </c>
      <c r="BM18" s="52">
        <v>46266</v>
      </c>
      <c r="BN18" s="52">
        <v>46267</v>
      </c>
      <c r="BO18" s="52">
        <v>46268</v>
      </c>
      <c r="BP18" s="53">
        <v>46269</v>
      </c>
      <c r="BQ18" s="51">
        <v>46272</v>
      </c>
      <c r="BR18" s="52">
        <v>46273</v>
      </c>
      <c r="BS18" s="52">
        <v>46274</v>
      </c>
      <c r="BT18" s="52">
        <v>46275</v>
      </c>
      <c r="BU18" s="53">
        <v>46276</v>
      </c>
      <c r="BV18" s="51">
        <v>46279</v>
      </c>
      <c r="BW18" s="52">
        <v>46280</v>
      </c>
      <c r="BX18" s="52">
        <v>46281</v>
      </c>
      <c r="BY18" s="52">
        <v>46282</v>
      </c>
      <c r="BZ18" s="53">
        <v>46283</v>
      </c>
      <c r="CA18" s="51">
        <v>46286</v>
      </c>
      <c r="CB18" s="52">
        <v>46287</v>
      </c>
      <c r="CC18" s="52">
        <v>46288</v>
      </c>
      <c r="CD18" s="52">
        <v>46289</v>
      </c>
      <c r="CE18" s="53">
        <v>46290</v>
      </c>
      <c r="CF18" s="51">
        <v>46293</v>
      </c>
      <c r="CG18" s="52">
        <v>46294</v>
      </c>
      <c r="CH18" s="52">
        <v>46295</v>
      </c>
      <c r="CI18" s="52">
        <v>46296</v>
      </c>
      <c r="CJ18" s="53">
        <v>46297</v>
      </c>
      <c r="CK18" s="51">
        <f t="shared" si="32"/>
        <v>46300</v>
      </c>
      <c r="CL18" s="52">
        <f t="shared" ref="CL18:CO18" si="201">CK18+1</f>
        <v>46301</v>
      </c>
      <c r="CM18" s="52">
        <f t="shared" si="201"/>
        <v>46302</v>
      </c>
      <c r="CN18" s="52">
        <f t="shared" si="201"/>
        <v>46303</v>
      </c>
      <c r="CO18" s="53">
        <f t="shared" si="201"/>
        <v>46304</v>
      </c>
      <c r="CP18" s="51">
        <f t="shared" si="61"/>
        <v>46307</v>
      </c>
      <c r="CQ18" s="52">
        <f t="shared" ref="CQ18:CT18" si="202">CP18+1</f>
        <v>46308</v>
      </c>
      <c r="CR18" s="52">
        <f t="shared" si="202"/>
        <v>46309</v>
      </c>
      <c r="CS18" s="52">
        <f t="shared" si="202"/>
        <v>46310</v>
      </c>
      <c r="CT18" s="53">
        <f t="shared" si="202"/>
        <v>46311</v>
      </c>
      <c r="CU18" s="51">
        <f t="shared" si="35"/>
        <v>46314</v>
      </c>
      <c r="CV18" s="52">
        <f t="shared" ref="CV18:CY18" si="203">CU18+1</f>
        <v>46315</v>
      </c>
      <c r="CW18" s="52">
        <f t="shared" si="203"/>
        <v>46316</v>
      </c>
      <c r="CX18" s="52">
        <f t="shared" si="203"/>
        <v>46317</v>
      </c>
      <c r="CY18" s="53">
        <f t="shared" si="203"/>
        <v>46318</v>
      </c>
      <c r="CZ18" s="51">
        <f t="shared" si="37"/>
        <v>46321</v>
      </c>
      <c r="DA18" s="52">
        <f t="shared" ref="DA18:DD18" si="204">CZ18+1</f>
        <v>46322</v>
      </c>
      <c r="DB18" s="52">
        <f t="shared" si="204"/>
        <v>46323</v>
      </c>
      <c r="DC18" s="52">
        <f t="shared" si="204"/>
        <v>46324</v>
      </c>
      <c r="DD18" s="53">
        <f t="shared" si="204"/>
        <v>46325</v>
      </c>
      <c r="DE18" s="51">
        <f t="shared" si="39"/>
        <v>46328</v>
      </c>
      <c r="DF18" s="52">
        <f t="shared" ref="DF18:DI18" si="205">DE18+1</f>
        <v>46329</v>
      </c>
      <c r="DG18" s="52">
        <f t="shared" si="205"/>
        <v>46330</v>
      </c>
      <c r="DH18" s="52">
        <f t="shared" si="205"/>
        <v>46331</v>
      </c>
      <c r="DI18" s="53">
        <f t="shared" si="205"/>
        <v>46332</v>
      </c>
      <c r="DJ18" s="51">
        <f t="shared" si="41"/>
        <v>46335</v>
      </c>
      <c r="DK18" s="52">
        <f t="shared" ref="DK18:DN18" si="206">DJ18+1</f>
        <v>46336</v>
      </c>
      <c r="DL18" s="52">
        <f t="shared" si="206"/>
        <v>46337</v>
      </c>
      <c r="DM18" s="52">
        <f t="shared" si="206"/>
        <v>46338</v>
      </c>
      <c r="DN18" s="53">
        <f t="shared" si="206"/>
        <v>46339</v>
      </c>
      <c r="DO18" s="51">
        <f t="shared" si="43"/>
        <v>46342</v>
      </c>
      <c r="DP18" s="52">
        <f t="shared" ref="DP18:DS18" si="207">DO18+1</f>
        <v>46343</v>
      </c>
      <c r="DQ18" s="52">
        <f t="shared" si="207"/>
        <v>46344</v>
      </c>
      <c r="DR18" s="52">
        <f t="shared" si="207"/>
        <v>46345</v>
      </c>
      <c r="DS18" s="53">
        <f t="shared" si="207"/>
        <v>46346</v>
      </c>
      <c r="DT18" s="51">
        <f t="shared" si="45"/>
        <v>46349</v>
      </c>
      <c r="DU18" s="52">
        <f t="shared" ref="DU18:DX18" si="208">DT18+1</f>
        <v>46350</v>
      </c>
      <c r="DV18" s="52">
        <f t="shared" si="208"/>
        <v>46351</v>
      </c>
      <c r="DW18" s="52">
        <f t="shared" si="208"/>
        <v>46352</v>
      </c>
      <c r="DX18" s="53">
        <f t="shared" si="208"/>
        <v>46353</v>
      </c>
      <c r="DY18" s="51">
        <f t="shared" si="47"/>
        <v>46356</v>
      </c>
      <c r="DZ18" s="52">
        <f t="shared" ref="DZ18:EC18" si="209">DY18+1</f>
        <v>46357</v>
      </c>
      <c r="EA18" s="52">
        <f t="shared" si="209"/>
        <v>46358</v>
      </c>
      <c r="EB18" s="52">
        <f t="shared" si="209"/>
        <v>46359</v>
      </c>
      <c r="EC18" s="53">
        <f t="shared" si="209"/>
        <v>46360</v>
      </c>
      <c r="ED18" s="51">
        <f t="shared" si="49"/>
        <v>46363</v>
      </c>
      <c r="EE18" s="52">
        <f t="shared" ref="EE18:EH18" si="210">ED18+1</f>
        <v>46364</v>
      </c>
      <c r="EF18" s="52">
        <f t="shared" si="210"/>
        <v>46365</v>
      </c>
      <c r="EG18" s="52">
        <f t="shared" si="210"/>
        <v>46366</v>
      </c>
      <c r="EH18" s="53">
        <f t="shared" si="210"/>
        <v>46367</v>
      </c>
      <c r="EI18" s="51">
        <f t="shared" si="51"/>
        <v>46370</v>
      </c>
      <c r="EJ18" s="52">
        <f t="shared" ref="EJ18:EM18" si="211">EI18+1</f>
        <v>46371</v>
      </c>
      <c r="EK18" s="52">
        <f t="shared" si="211"/>
        <v>46372</v>
      </c>
      <c r="EL18" s="52">
        <f t="shared" si="211"/>
        <v>46373</v>
      </c>
      <c r="EM18" s="53">
        <f t="shared" si="211"/>
        <v>46374</v>
      </c>
      <c r="EN18" s="51">
        <f t="shared" si="53"/>
        <v>46377</v>
      </c>
      <c r="EO18" s="52">
        <f t="shared" ref="EO18:ER18" si="212">EN18+1</f>
        <v>46378</v>
      </c>
      <c r="EP18" s="52">
        <f t="shared" si="212"/>
        <v>46379</v>
      </c>
      <c r="EQ18" s="52">
        <f t="shared" si="212"/>
        <v>46380</v>
      </c>
      <c r="ER18" s="53">
        <f t="shared" si="212"/>
        <v>46381</v>
      </c>
      <c r="ES18" s="51">
        <f t="shared" si="55"/>
        <v>46384</v>
      </c>
      <c r="ET18" s="52">
        <f t="shared" ref="ET18:EW18" si="213">ES18+1</f>
        <v>46385</v>
      </c>
      <c r="EU18" s="52">
        <f t="shared" si="213"/>
        <v>46386</v>
      </c>
      <c r="EV18" s="52">
        <f t="shared" si="213"/>
        <v>46387</v>
      </c>
      <c r="EW18" s="53">
        <f t="shared" si="213"/>
        <v>46388</v>
      </c>
      <c r="EX18" s="51">
        <f t="shared" si="57"/>
        <v>46391</v>
      </c>
      <c r="EY18" s="52">
        <f>EX16+1</f>
        <v>46392</v>
      </c>
      <c r="EZ18" s="52">
        <f>EY16+1</f>
        <v>46393</v>
      </c>
      <c r="FA18" s="52">
        <f>EZ16+1</f>
        <v>46394</v>
      </c>
      <c r="FB18" s="53">
        <f>FA16+1</f>
        <v>46395</v>
      </c>
    </row>
    <row r="19" spans="1:158" ht="17.25" customHeight="1" outlineLevel="1">
      <c r="A19" s="26"/>
      <c r="B19" s="34"/>
      <c r="C19" s="35" t="s">
        <v>77</v>
      </c>
      <c r="D19" s="36"/>
      <c r="E19" s="37"/>
      <c r="F19" s="38"/>
      <c r="G19" s="59"/>
      <c r="H19" s="67"/>
      <c r="I19" s="67"/>
      <c r="J19" s="68"/>
      <c r="K19" s="69"/>
      <c r="L19" s="70"/>
      <c r="M19" s="39">
        <f>MIN(M20:M21)</f>
        <v>46209</v>
      </c>
      <c r="N19" s="40">
        <f>MAX(N20:N21)</f>
        <v>46234</v>
      </c>
      <c r="O19" s="24">
        <f>SUM(O20:O21)</f>
        <v>3.787878787878788E-2</v>
      </c>
      <c r="P19" s="24"/>
      <c r="Q19" s="24"/>
      <c r="R19" s="24"/>
      <c r="S19" s="51">
        <f t="shared" si="30"/>
        <v>46202</v>
      </c>
      <c r="T19" s="52">
        <f t="shared" ref="T19:W19" si="214">S19+1</f>
        <v>46203</v>
      </c>
      <c r="U19" s="52">
        <f t="shared" si="214"/>
        <v>46204</v>
      </c>
      <c r="V19" s="52">
        <f t="shared" si="214"/>
        <v>46205</v>
      </c>
      <c r="W19" s="53">
        <f t="shared" si="214"/>
        <v>46206</v>
      </c>
      <c r="X19" s="51">
        <v>46209</v>
      </c>
      <c r="Y19" s="52">
        <v>46210</v>
      </c>
      <c r="Z19" s="52">
        <v>46211</v>
      </c>
      <c r="AA19" s="52">
        <v>46212</v>
      </c>
      <c r="AB19" s="53">
        <v>46213</v>
      </c>
      <c r="AC19" s="51">
        <v>46216</v>
      </c>
      <c r="AD19" s="52">
        <v>46217</v>
      </c>
      <c r="AE19" s="52">
        <v>46218</v>
      </c>
      <c r="AF19" s="52">
        <v>46219</v>
      </c>
      <c r="AG19" s="53">
        <v>46220</v>
      </c>
      <c r="AH19" s="51">
        <v>46223</v>
      </c>
      <c r="AI19" s="52">
        <v>46224</v>
      </c>
      <c r="AJ19" s="52">
        <v>46225</v>
      </c>
      <c r="AK19" s="52">
        <v>46226</v>
      </c>
      <c r="AL19" s="53">
        <v>46227</v>
      </c>
      <c r="AM19" s="51">
        <v>46230</v>
      </c>
      <c r="AN19" s="52">
        <v>46231</v>
      </c>
      <c r="AO19" s="52">
        <v>46232</v>
      </c>
      <c r="AP19" s="52">
        <v>46233</v>
      </c>
      <c r="AQ19" s="53">
        <v>46234</v>
      </c>
      <c r="AR19" s="51">
        <v>46237</v>
      </c>
      <c r="AS19" s="52">
        <v>46238</v>
      </c>
      <c r="AT19" s="52">
        <v>46239</v>
      </c>
      <c r="AU19" s="52">
        <v>46240</v>
      </c>
      <c r="AV19" s="53">
        <v>46241</v>
      </c>
      <c r="AW19" s="51">
        <v>46244</v>
      </c>
      <c r="AX19" s="52">
        <v>46245</v>
      </c>
      <c r="AY19" s="52">
        <v>46246</v>
      </c>
      <c r="AZ19" s="52">
        <v>46247</v>
      </c>
      <c r="BA19" s="53">
        <v>46248</v>
      </c>
      <c r="BB19" s="51">
        <v>46251</v>
      </c>
      <c r="BC19" s="52">
        <v>46252</v>
      </c>
      <c r="BD19" s="52">
        <v>46253</v>
      </c>
      <c r="BE19" s="52">
        <v>46254</v>
      </c>
      <c r="BF19" s="53">
        <v>46255</v>
      </c>
      <c r="BG19" s="51">
        <v>46258</v>
      </c>
      <c r="BH19" s="52">
        <v>46259</v>
      </c>
      <c r="BI19" s="52">
        <v>46260</v>
      </c>
      <c r="BJ19" s="52">
        <v>46261</v>
      </c>
      <c r="BK19" s="53">
        <v>46262</v>
      </c>
      <c r="BL19" s="51">
        <v>46265</v>
      </c>
      <c r="BM19" s="52">
        <v>46266</v>
      </c>
      <c r="BN19" s="52">
        <v>46267</v>
      </c>
      <c r="BO19" s="52">
        <v>46268</v>
      </c>
      <c r="BP19" s="53">
        <v>46269</v>
      </c>
      <c r="BQ19" s="51">
        <v>46272</v>
      </c>
      <c r="BR19" s="52">
        <v>46273</v>
      </c>
      <c r="BS19" s="52">
        <v>46274</v>
      </c>
      <c r="BT19" s="52">
        <v>46275</v>
      </c>
      <c r="BU19" s="53">
        <v>46276</v>
      </c>
      <c r="BV19" s="51">
        <v>46279</v>
      </c>
      <c r="BW19" s="52">
        <v>46280</v>
      </c>
      <c r="BX19" s="52">
        <v>46281</v>
      </c>
      <c r="BY19" s="52">
        <v>46282</v>
      </c>
      <c r="BZ19" s="53">
        <v>46283</v>
      </c>
      <c r="CA19" s="51">
        <v>46286</v>
      </c>
      <c r="CB19" s="52">
        <v>46287</v>
      </c>
      <c r="CC19" s="52">
        <v>46288</v>
      </c>
      <c r="CD19" s="52">
        <v>46289</v>
      </c>
      <c r="CE19" s="53">
        <v>46290</v>
      </c>
      <c r="CF19" s="51">
        <v>46293</v>
      </c>
      <c r="CG19" s="52">
        <v>46294</v>
      </c>
      <c r="CH19" s="52">
        <v>46295</v>
      </c>
      <c r="CI19" s="52">
        <v>46296</v>
      </c>
      <c r="CJ19" s="53">
        <v>46297</v>
      </c>
      <c r="CK19" s="51">
        <f t="shared" si="32"/>
        <v>46300</v>
      </c>
      <c r="CL19" s="52">
        <f t="shared" ref="CL19:CO19" si="215">CK19+1</f>
        <v>46301</v>
      </c>
      <c r="CM19" s="52">
        <f t="shared" si="215"/>
        <v>46302</v>
      </c>
      <c r="CN19" s="52">
        <f t="shared" si="215"/>
        <v>46303</v>
      </c>
      <c r="CO19" s="53">
        <f t="shared" si="215"/>
        <v>46304</v>
      </c>
      <c r="CP19" s="51">
        <f t="shared" si="61"/>
        <v>46307</v>
      </c>
      <c r="CQ19" s="52">
        <f t="shared" ref="CQ19:CT19" si="216">CP19+1</f>
        <v>46308</v>
      </c>
      <c r="CR19" s="52">
        <f t="shared" si="216"/>
        <v>46309</v>
      </c>
      <c r="CS19" s="52">
        <f t="shared" si="216"/>
        <v>46310</v>
      </c>
      <c r="CT19" s="53">
        <f t="shared" si="216"/>
        <v>46311</v>
      </c>
      <c r="CU19" s="51">
        <f t="shared" si="35"/>
        <v>46314</v>
      </c>
      <c r="CV19" s="52">
        <f t="shared" ref="CV19:CY19" si="217">CU19+1</f>
        <v>46315</v>
      </c>
      <c r="CW19" s="52">
        <f t="shared" si="217"/>
        <v>46316</v>
      </c>
      <c r="CX19" s="52">
        <f t="shared" si="217"/>
        <v>46317</v>
      </c>
      <c r="CY19" s="53">
        <f t="shared" si="217"/>
        <v>46318</v>
      </c>
      <c r="CZ19" s="51">
        <f t="shared" si="37"/>
        <v>46321</v>
      </c>
      <c r="DA19" s="52">
        <f t="shared" ref="DA19:DD19" si="218">CZ19+1</f>
        <v>46322</v>
      </c>
      <c r="DB19" s="52">
        <f t="shared" si="218"/>
        <v>46323</v>
      </c>
      <c r="DC19" s="52">
        <f t="shared" si="218"/>
        <v>46324</v>
      </c>
      <c r="DD19" s="53">
        <f t="shared" si="218"/>
        <v>46325</v>
      </c>
      <c r="DE19" s="51">
        <f t="shared" si="39"/>
        <v>46328</v>
      </c>
      <c r="DF19" s="52">
        <f t="shared" ref="DF19:DI19" si="219">DE19+1</f>
        <v>46329</v>
      </c>
      <c r="DG19" s="52">
        <f t="shared" si="219"/>
        <v>46330</v>
      </c>
      <c r="DH19" s="52">
        <f t="shared" si="219"/>
        <v>46331</v>
      </c>
      <c r="DI19" s="53">
        <f t="shared" si="219"/>
        <v>46332</v>
      </c>
      <c r="DJ19" s="51">
        <f t="shared" si="41"/>
        <v>46335</v>
      </c>
      <c r="DK19" s="52">
        <f t="shared" ref="DK19:DN19" si="220">DJ19+1</f>
        <v>46336</v>
      </c>
      <c r="DL19" s="52">
        <f t="shared" si="220"/>
        <v>46337</v>
      </c>
      <c r="DM19" s="52">
        <f t="shared" si="220"/>
        <v>46338</v>
      </c>
      <c r="DN19" s="53">
        <f t="shared" si="220"/>
        <v>46339</v>
      </c>
      <c r="DO19" s="51">
        <f t="shared" si="43"/>
        <v>46342</v>
      </c>
      <c r="DP19" s="52">
        <f t="shared" ref="DP19:DS19" si="221">DO19+1</f>
        <v>46343</v>
      </c>
      <c r="DQ19" s="52">
        <f t="shared" si="221"/>
        <v>46344</v>
      </c>
      <c r="DR19" s="52">
        <f t="shared" si="221"/>
        <v>46345</v>
      </c>
      <c r="DS19" s="53">
        <f t="shared" si="221"/>
        <v>46346</v>
      </c>
      <c r="DT19" s="51">
        <f t="shared" si="45"/>
        <v>46349</v>
      </c>
      <c r="DU19" s="52">
        <f t="shared" ref="DU19:DX19" si="222">DT19+1</f>
        <v>46350</v>
      </c>
      <c r="DV19" s="52">
        <f t="shared" si="222"/>
        <v>46351</v>
      </c>
      <c r="DW19" s="52">
        <f t="shared" si="222"/>
        <v>46352</v>
      </c>
      <c r="DX19" s="53">
        <f t="shared" si="222"/>
        <v>46353</v>
      </c>
      <c r="DY19" s="51">
        <f t="shared" si="47"/>
        <v>46356</v>
      </c>
      <c r="DZ19" s="52">
        <f t="shared" ref="DZ19:EC19" si="223">DY19+1</f>
        <v>46357</v>
      </c>
      <c r="EA19" s="52">
        <f t="shared" si="223"/>
        <v>46358</v>
      </c>
      <c r="EB19" s="52">
        <f t="shared" si="223"/>
        <v>46359</v>
      </c>
      <c r="EC19" s="53">
        <f t="shared" si="223"/>
        <v>46360</v>
      </c>
      <c r="ED19" s="51">
        <f t="shared" si="49"/>
        <v>46363</v>
      </c>
      <c r="EE19" s="52">
        <f t="shared" ref="EE19:EH19" si="224">ED19+1</f>
        <v>46364</v>
      </c>
      <c r="EF19" s="52">
        <f t="shared" si="224"/>
        <v>46365</v>
      </c>
      <c r="EG19" s="52">
        <f t="shared" si="224"/>
        <v>46366</v>
      </c>
      <c r="EH19" s="53">
        <f t="shared" si="224"/>
        <v>46367</v>
      </c>
      <c r="EI19" s="51">
        <f t="shared" si="51"/>
        <v>46370</v>
      </c>
      <c r="EJ19" s="52">
        <f t="shared" ref="EJ19:EM19" si="225">EI19+1</f>
        <v>46371</v>
      </c>
      <c r="EK19" s="52">
        <f t="shared" si="225"/>
        <v>46372</v>
      </c>
      <c r="EL19" s="52">
        <f t="shared" si="225"/>
        <v>46373</v>
      </c>
      <c r="EM19" s="53">
        <f t="shared" si="225"/>
        <v>46374</v>
      </c>
      <c r="EN19" s="51">
        <f t="shared" si="53"/>
        <v>46377</v>
      </c>
      <c r="EO19" s="52">
        <f t="shared" ref="EO19:ER19" si="226">EN19+1</f>
        <v>46378</v>
      </c>
      <c r="EP19" s="52">
        <f t="shared" si="226"/>
        <v>46379</v>
      </c>
      <c r="EQ19" s="52">
        <f t="shared" si="226"/>
        <v>46380</v>
      </c>
      <c r="ER19" s="53">
        <f t="shared" si="226"/>
        <v>46381</v>
      </c>
      <c r="ES19" s="51">
        <f t="shared" si="55"/>
        <v>46384</v>
      </c>
      <c r="ET19" s="52">
        <f t="shared" ref="ET19:EW19" si="227">ES19+1</f>
        <v>46385</v>
      </c>
      <c r="EU19" s="52">
        <f t="shared" si="227"/>
        <v>46386</v>
      </c>
      <c r="EV19" s="52">
        <f t="shared" si="227"/>
        <v>46387</v>
      </c>
      <c r="EW19" s="53">
        <f t="shared" si="227"/>
        <v>46388</v>
      </c>
      <c r="EX19" s="51">
        <f t="shared" si="57"/>
        <v>46391</v>
      </c>
      <c r="EY19" s="52">
        <f t="shared" si="58"/>
        <v>46392</v>
      </c>
      <c r="EZ19" s="52">
        <f t="shared" si="29"/>
        <v>46393</v>
      </c>
      <c r="FA19" s="52">
        <f t="shared" si="29"/>
        <v>46394</v>
      </c>
      <c r="FB19" s="53">
        <f t="shared" si="29"/>
        <v>46395</v>
      </c>
    </row>
    <row r="20" spans="1:158" ht="18" customHeight="1" outlineLevel="2">
      <c r="A20" s="26"/>
      <c r="B20" s="34"/>
      <c r="C20" s="34"/>
      <c r="D20" s="41" t="s">
        <v>20</v>
      </c>
      <c r="E20" s="42"/>
      <c r="F20" s="43"/>
      <c r="G20" s="71" t="s">
        <v>18</v>
      </c>
      <c r="H20" s="71" t="s">
        <v>18</v>
      </c>
      <c r="I20" s="71" t="s">
        <v>18</v>
      </c>
      <c r="J20" s="72" t="s">
        <v>18</v>
      </c>
      <c r="K20" s="73"/>
      <c r="L20" s="74"/>
      <c r="M20" s="46">
        <v>46209</v>
      </c>
      <c r="N20" s="44">
        <v>46219</v>
      </c>
      <c r="O20" s="48">
        <f>4/132/2</f>
        <v>1.5151515151515152E-2</v>
      </c>
      <c r="P20" s="14"/>
      <c r="Q20" s="15"/>
      <c r="R20" s="14"/>
      <c r="S20" s="51">
        <f t="shared" si="30"/>
        <v>46202</v>
      </c>
      <c r="T20" s="52">
        <f t="shared" ref="T20:W20" si="228">S20+1</f>
        <v>46203</v>
      </c>
      <c r="U20" s="52">
        <f t="shared" si="228"/>
        <v>46204</v>
      </c>
      <c r="V20" s="52">
        <f t="shared" si="228"/>
        <v>46205</v>
      </c>
      <c r="W20" s="53">
        <f t="shared" si="228"/>
        <v>46206</v>
      </c>
      <c r="X20" s="51">
        <v>46209</v>
      </c>
      <c r="Y20" s="52">
        <v>46210</v>
      </c>
      <c r="Z20" s="52">
        <v>46211</v>
      </c>
      <c r="AA20" s="52">
        <v>46212</v>
      </c>
      <c r="AB20" s="53">
        <v>46213</v>
      </c>
      <c r="AC20" s="51">
        <v>46216</v>
      </c>
      <c r="AD20" s="52">
        <v>46217</v>
      </c>
      <c r="AE20" s="52">
        <v>46218</v>
      </c>
      <c r="AF20" s="52">
        <v>46219</v>
      </c>
      <c r="AG20" s="53">
        <v>46220</v>
      </c>
      <c r="AH20" s="51">
        <v>46223</v>
      </c>
      <c r="AI20" s="52">
        <v>46224</v>
      </c>
      <c r="AJ20" s="52">
        <v>46225</v>
      </c>
      <c r="AK20" s="52">
        <v>46226</v>
      </c>
      <c r="AL20" s="53">
        <v>46227</v>
      </c>
      <c r="AM20" s="51">
        <v>46230</v>
      </c>
      <c r="AN20" s="52">
        <v>46231</v>
      </c>
      <c r="AO20" s="52">
        <v>46232</v>
      </c>
      <c r="AP20" s="52">
        <v>46233</v>
      </c>
      <c r="AQ20" s="53">
        <v>46234</v>
      </c>
      <c r="AR20" s="51">
        <v>46237</v>
      </c>
      <c r="AS20" s="52">
        <v>46238</v>
      </c>
      <c r="AT20" s="52">
        <v>46239</v>
      </c>
      <c r="AU20" s="52">
        <v>46240</v>
      </c>
      <c r="AV20" s="53">
        <v>46241</v>
      </c>
      <c r="AW20" s="51">
        <v>46244</v>
      </c>
      <c r="AX20" s="52">
        <v>46245</v>
      </c>
      <c r="AY20" s="52">
        <v>46246</v>
      </c>
      <c r="AZ20" s="52">
        <v>46247</v>
      </c>
      <c r="BA20" s="53">
        <v>46248</v>
      </c>
      <c r="BB20" s="51">
        <v>46251</v>
      </c>
      <c r="BC20" s="52">
        <v>46252</v>
      </c>
      <c r="BD20" s="52">
        <v>46253</v>
      </c>
      <c r="BE20" s="52">
        <v>46254</v>
      </c>
      <c r="BF20" s="53">
        <v>46255</v>
      </c>
      <c r="BG20" s="51">
        <v>46258</v>
      </c>
      <c r="BH20" s="52">
        <v>46259</v>
      </c>
      <c r="BI20" s="52">
        <v>46260</v>
      </c>
      <c r="BJ20" s="52">
        <v>46261</v>
      </c>
      <c r="BK20" s="53">
        <v>46262</v>
      </c>
      <c r="BL20" s="51">
        <v>46265</v>
      </c>
      <c r="BM20" s="52">
        <v>46266</v>
      </c>
      <c r="BN20" s="52">
        <v>46267</v>
      </c>
      <c r="BO20" s="52">
        <v>46268</v>
      </c>
      <c r="BP20" s="53">
        <v>46269</v>
      </c>
      <c r="BQ20" s="51">
        <v>46272</v>
      </c>
      <c r="BR20" s="52">
        <v>46273</v>
      </c>
      <c r="BS20" s="52">
        <v>46274</v>
      </c>
      <c r="BT20" s="52">
        <v>46275</v>
      </c>
      <c r="BU20" s="53">
        <v>46276</v>
      </c>
      <c r="BV20" s="51">
        <v>46279</v>
      </c>
      <c r="BW20" s="52">
        <v>46280</v>
      </c>
      <c r="BX20" s="52">
        <v>46281</v>
      </c>
      <c r="BY20" s="52">
        <v>46282</v>
      </c>
      <c r="BZ20" s="53">
        <v>46283</v>
      </c>
      <c r="CA20" s="51">
        <v>46286</v>
      </c>
      <c r="CB20" s="52">
        <v>46287</v>
      </c>
      <c r="CC20" s="52">
        <v>46288</v>
      </c>
      <c r="CD20" s="52">
        <v>46289</v>
      </c>
      <c r="CE20" s="53">
        <v>46290</v>
      </c>
      <c r="CF20" s="51">
        <v>46293</v>
      </c>
      <c r="CG20" s="52">
        <v>46294</v>
      </c>
      <c r="CH20" s="52">
        <v>46295</v>
      </c>
      <c r="CI20" s="52">
        <v>46296</v>
      </c>
      <c r="CJ20" s="53">
        <v>46297</v>
      </c>
      <c r="CK20" s="51">
        <f t="shared" si="32"/>
        <v>46300</v>
      </c>
      <c r="CL20" s="52">
        <f t="shared" ref="CL20:CO20" si="229">CK20+1</f>
        <v>46301</v>
      </c>
      <c r="CM20" s="52">
        <f t="shared" si="229"/>
        <v>46302</v>
      </c>
      <c r="CN20" s="52">
        <f t="shared" si="229"/>
        <v>46303</v>
      </c>
      <c r="CO20" s="53">
        <f t="shared" si="229"/>
        <v>46304</v>
      </c>
      <c r="CP20" s="51">
        <f t="shared" si="61"/>
        <v>46307</v>
      </c>
      <c r="CQ20" s="52">
        <f t="shared" ref="CQ20:CT20" si="230">CP20+1</f>
        <v>46308</v>
      </c>
      <c r="CR20" s="52">
        <f t="shared" si="230"/>
        <v>46309</v>
      </c>
      <c r="CS20" s="52">
        <f t="shared" si="230"/>
        <v>46310</v>
      </c>
      <c r="CT20" s="53">
        <f t="shared" si="230"/>
        <v>46311</v>
      </c>
      <c r="CU20" s="51">
        <f t="shared" si="35"/>
        <v>46314</v>
      </c>
      <c r="CV20" s="52">
        <f t="shared" ref="CV20:CY20" si="231">CU20+1</f>
        <v>46315</v>
      </c>
      <c r="CW20" s="52">
        <f t="shared" si="231"/>
        <v>46316</v>
      </c>
      <c r="CX20" s="52">
        <f t="shared" si="231"/>
        <v>46317</v>
      </c>
      <c r="CY20" s="53">
        <f t="shared" si="231"/>
        <v>46318</v>
      </c>
      <c r="CZ20" s="51">
        <f t="shared" si="37"/>
        <v>46321</v>
      </c>
      <c r="DA20" s="52">
        <f t="shared" ref="DA20:DD20" si="232">CZ20+1</f>
        <v>46322</v>
      </c>
      <c r="DB20" s="52">
        <f t="shared" si="232"/>
        <v>46323</v>
      </c>
      <c r="DC20" s="52">
        <f t="shared" si="232"/>
        <v>46324</v>
      </c>
      <c r="DD20" s="53">
        <f t="shared" si="232"/>
        <v>46325</v>
      </c>
      <c r="DE20" s="51">
        <f t="shared" si="39"/>
        <v>46328</v>
      </c>
      <c r="DF20" s="52">
        <f t="shared" ref="DF20:DI20" si="233">DE20+1</f>
        <v>46329</v>
      </c>
      <c r="DG20" s="52">
        <f t="shared" si="233"/>
        <v>46330</v>
      </c>
      <c r="DH20" s="52">
        <f t="shared" si="233"/>
        <v>46331</v>
      </c>
      <c r="DI20" s="53">
        <f t="shared" si="233"/>
        <v>46332</v>
      </c>
      <c r="DJ20" s="51">
        <f t="shared" si="41"/>
        <v>46335</v>
      </c>
      <c r="DK20" s="52">
        <f t="shared" ref="DK20:DN20" si="234">DJ20+1</f>
        <v>46336</v>
      </c>
      <c r="DL20" s="52">
        <f t="shared" si="234"/>
        <v>46337</v>
      </c>
      <c r="DM20" s="52">
        <f t="shared" si="234"/>
        <v>46338</v>
      </c>
      <c r="DN20" s="53">
        <f t="shared" si="234"/>
        <v>46339</v>
      </c>
      <c r="DO20" s="51">
        <f t="shared" si="43"/>
        <v>46342</v>
      </c>
      <c r="DP20" s="52">
        <f t="shared" ref="DP20:DS20" si="235">DO20+1</f>
        <v>46343</v>
      </c>
      <c r="DQ20" s="52">
        <f t="shared" si="235"/>
        <v>46344</v>
      </c>
      <c r="DR20" s="52">
        <f t="shared" si="235"/>
        <v>46345</v>
      </c>
      <c r="DS20" s="53">
        <f t="shared" si="235"/>
        <v>46346</v>
      </c>
      <c r="DT20" s="51">
        <f t="shared" si="45"/>
        <v>46349</v>
      </c>
      <c r="DU20" s="52">
        <f t="shared" ref="DU20:DX20" si="236">DT20+1</f>
        <v>46350</v>
      </c>
      <c r="DV20" s="52">
        <f t="shared" si="236"/>
        <v>46351</v>
      </c>
      <c r="DW20" s="52">
        <f t="shared" si="236"/>
        <v>46352</v>
      </c>
      <c r="DX20" s="53">
        <f t="shared" si="236"/>
        <v>46353</v>
      </c>
      <c r="DY20" s="51">
        <f t="shared" si="47"/>
        <v>46356</v>
      </c>
      <c r="DZ20" s="52">
        <f t="shared" ref="DZ20:EC20" si="237">DY20+1</f>
        <v>46357</v>
      </c>
      <c r="EA20" s="52">
        <f t="shared" si="237"/>
        <v>46358</v>
      </c>
      <c r="EB20" s="52">
        <f t="shared" si="237"/>
        <v>46359</v>
      </c>
      <c r="EC20" s="53">
        <f t="shared" si="237"/>
        <v>46360</v>
      </c>
      <c r="ED20" s="51">
        <f t="shared" si="49"/>
        <v>46363</v>
      </c>
      <c r="EE20" s="52">
        <f t="shared" ref="EE20:EH20" si="238">ED20+1</f>
        <v>46364</v>
      </c>
      <c r="EF20" s="52">
        <f t="shared" si="238"/>
        <v>46365</v>
      </c>
      <c r="EG20" s="52">
        <f t="shared" si="238"/>
        <v>46366</v>
      </c>
      <c r="EH20" s="53">
        <f t="shared" si="238"/>
        <v>46367</v>
      </c>
      <c r="EI20" s="51">
        <f t="shared" si="51"/>
        <v>46370</v>
      </c>
      <c r="EJ20" s="52">
        <f t="shared" ref="EJ20:EM20" si="239">EI20+1</f>
        <v>46371</v>
      </c>
      <c r="EK20" s="52">
        <f t="shared" si="239"/>
        <v>46372</v>
      </c>
      <c r="EL20" s="52">
        <f t="shared" si="239"/>
        <v>46373</v>
      </c>
      <c r="EM20" s="53">
        <f t="shared" si="239"/>
        <v>46374</v>
      </c>
      <c r="EN20" s="51">
        <f t="shared" si="53"/>
        <v>46377</v>
      </c>
      <c r="EO20" s="52">
        <f t="shared" ref="EO20:ER20" si="240">EN20+1</f>
        <v>46378</v>
      </c>
      <c r="EP20" s="52">
        <f t="shared" si="240"/>
        <v>46379</v>
      </c>
      <c r="EQ20" s="52">
        <f t="shared" si="240"/>
        <v>46380</v>
      </c>
      <c r="ER20" s="53">
        <f t="shared" si="240"/>
        <v>46381</v>
      </c>
      <c r="ES20" s="51">
        <f t="shared" si="55"/>
        <v>46384</v>
      </c>
      <c r="ET20" s="52">
        <f t="shared" ref="ET20:EW20" si="241">ES20+1</f>
        <v>46385</v>
      </c>
      <c r="EU20" s="52">
        <f t="shared" si="241"/>
        <v>46386</v>
      </c>
      <c r="EV20" s="52">
        <f t="shared" si="241"/>
        <v>46387</v>
      </c>
      <c r="EW20" s="53">
        <f t="shared" si="241"/>
        <v>46388</v>
      </c>
      <c r="EX20" s="51">
        <f t="shared" si="57"/>
        <v>46391</v>
      </c>
      <c r="EY20" s="52">
        <f t="shared" si="58"/>
        <v>46392</v>
      </c>
      <c r="EZ20" s="52">
        <f t="shared" si="29"/>
        <v>46393</v>
      </c>
      <c r="FA20" s="52">
        <f t="shared" si="29"/>
        <v>46394</v>
      </c>
      <c r="FB20" s="53">
        <f t="shared" si="29"/>
        <v>46395</v>
      </c>
    </row>
    <row r="21" spans="1:158" ht="18" customHeight="1" outlineLevel="2">
      <c r="A21" s="26"/>
      <c r="B21" s="34"/>
      <c r="C21" s="34"/>
      <c r="D21" s="41" t="s">
        <v>21</v>
      </c>
      <c r="E21" s="42"/>
      <c r="F21" s="43"/>
      <c r="G21" s="71" t="s">
        <v>18</v>
      </c>
      <c r="H21" s="71" t="s">
        <v>18</v>
      </c>
      <c r="I21" s="71" t="s">
        <v>18</v>
      </c>
      <c r="J21" s="72" t="s">
        <v>18</v>
      </c>
      <c r="K21" s="73"/>
      <c r="L21" s="74" t="s">
        <v>22</v>
      </c>
      <c r="M21" s="46">
        <v>46216</v>
      </c>
      <c r="N21" s="44">
        <v>46234</v>
      </c>
      <c r="O21" s="14">
        <f>3/132/6+5/132/2</f>
        <v>2.2727272727272728E-2</v>
      </c>
      <c r="P21" s="14"/>
      <c r="Q21" s="15"/>
      <c r="R21" s="14"/>
      <c r="S21" s="51">
        <f t="shared" si="30"/>
        <v>46202</v>
      </c>
      <c r="T21" s="52">
        <f t="shared" ref="T21:W21" si="242">S21+1</f>
        <v>46203</v>
      </c>
      <c r="U21" s="52">
        <f t="shared" si="242"/>
        <v>46204</v>
      </c>
      <c r="V21" s="52">
        <f t="shared" si="242"/>
        <v>46205</v>
      </c>
      <c r="W21" s="53">
        <f t="shared" si="242"/>
        <v>46206</v>
      </c>
      <c r="X21" s="51">
        <v>46209</v>
      </c>
      <c r="Y21" s="52">
        <v>46210</v>
      </c>
      <c r="Z21" s="52">
        <v>46211</v>
      </c>
      <c r="AA21" s="52">
        <v>46212</v>
      </c>
      <c r="AB21" s="53">
        <v>46213</v>
      </c>
      <c r="AC21" s="51">
        <v>46216</v>
      </c>
      <c r="AD21" s="52">
        <v>46217</v>
      </c>
      <c r="AE21" s="52">
        <v>46218</v>
      </c>
      <c r="AF21" s="52">
        <v>46219</v>
      </c>
      <c r="AG21" s="53">
        <v>46220</v>
      </c>
      <c r="AH21" s="51">
        <v>46223</v>
      </c>
      <c r="AI21" s="52">
        <v>46224</v>
      </c>
      <c r="AJ21" s="52">
        <v>46225</v>
      </c>
      <c r="AK21" s="52">
        <v>46226</v>
      </c>
      <c r="AL21" s="53">
        <v>46227</v>
      </c>
      <c r="AM21" s="51">
        <v>46230</v>
      </c>
      <c r="AN21" s="52">
        <v>46231</v>
      </c>
      <c r="AO21" s="52">
        <v>46232</v>
      </c>
      <c r="AP21" s="52">
        <v>46233</v>
      </c>
      <c r="AQ21" s="53">
        <v>46234</v>
      </c>
      <c r="AR21" s="51">
        <v>46237</v>
      </c>
      <c r="AS21" s="52">
        <v>46238</v>
      </c>
      <c r="AT21" s="52">
        <v>46239</v>
      </c>
      <c r="AU21" s="52">
        <v>46240</v>
      </c>
      <c r="AV21" s="53">
        <v>46241</v>
      </c>
      <c r="AW21" s="51">
        <v>46244</v>
      </c>
      <c r="AX21" s="52">
        <v>46245</v>
      </c>
      <c r="AY21" s="52">
        <v>46246</v>
      </c>
      <c r="AZ21" s="52">
        <v>46247</v>
      </c>
      <c r="BA21" s="53">
        <v>46248</v>
      </c>
      <c r="BB21" s="51">
        <v>46251</v>
      </c>
      <c r="BC21" s="52">
        <v>46252</v>
      </c>
      <c r="BD21" s="52">
        <v>46253</v>
      </c>
      <c r="BE21" s="52">
        <v>46254</v>
      </c>
      <c r="BF21" s="53">
        <v>46255</v>
      </c>
      <c r="BG21" s="51">
        <v>46258</v>
      </c>
      <c r="BH21" s="52">
        <v>46259</v>
      </c>
      <c r="BI21" s="52">
        <v>46260</v>
      </c>
      <c r="BJ21" s="52">
        <v>46261</v>
      </c>
      <c r="BK21" s="53">
        <v>46262</v>
      </c>
      <c r="BL21" s="51">
        <v>46265</v>
      </c>
      <c r="BM21" s="52">
        <v>46266</v>
      </c>
      <c r="BN21" s="52">
        <v>46267</v>
      </c>
      <c r="BO21" s="52">
        <v>46268</v>
      </c>
      <c r="BP21" s="53">
        <v>46269</v>
      </c>
      <c r="BQ21" s="51">
        <v>46272</v>
      </c>
      <c r="BR21" s="52">
        <v>46273</v>
      </c>
      <c r="BS21" s="52">
        <v>46274</v>
      </c>
      <c r="BT21" s="52">
        <v>46275</v>
      </c>
      <c r="BU21" s="53">
        <v>46276</v>
      </c>
      <c r="BV21" s="51">
        <v>46279</v>
      </c>
      <c r="BW21" s="52">
        <v>46280</v>
      </c>
      <c r="BX21" s="52">
        <v>46281</v>
      </c>
      <c r="BY21" s="52">
        <v>46282</v>
      </c>
      <c r="BZ21" s="53">
        <v>46283</v>
      </c>
      <c r="CA21" s="51">
        <v>46286</v>
      </c>
      <c r="CB21" s="52">
        <v>46287</v>
      </c>
      <c r="CC21" s="52">
        <v>46288</v>
      </c>
      <c r="CD21" s="52">
        <v>46289</v>
      </c>
      <c r="CE21" s="53">
        <v>46290</v>
      </c>
      <c r="CF21" s="51">
        <v>46293</v>
      </c>
      <c r="CG21" s="52">
        <v>46294</v>
      </c>
      <c r="CH21" s="52">
        <v>46295</v>
      </c>
      <c r="CI21" s="52">
        <v>46296</v>
      </c>
      <c r="CJ21" s="53">
        <v>46297</v>
      </c>
      <c r="CK21" s="51">
        <f t="shared" si="32"/>
        <v>46300</v>
      </c>
      <c r="CL21" s="52">
        <f t="shared" ref="CL21:CO21" si="243">CK21+1</f>
        <v>46301</v>
      </c>
      <c r="CM21" s="52">
        <f t="shared" si="243"/>
        <v>46302</v>
      </c>
      <c r="CN21" s="52">
        <f t="shared" si="243"/>
        <v>46303</v>
      </c>
      <c r="CO21" s="53">
        <f t="shared" si="243"/>
        <v>46304</v>
      </c>
      <c r="CP21" s="51">
        <f t="shared" si="61"/>
        <v>46307</v>
      </c>
      <c r="CQ21" s="52">
        <f t="shared" ref="CQ21:CT21" si="244">CP21+1</f>
        <v>46308</v>
      </c>
      <c r="CR21" s="52">
        <f t="shared" si="244"/>
        <v>46309</v>
      </c>
      <c r="CS21" s="52">
        <f t="shared" si="244"/>
        <v>46310</v>
      </c>
      <c r="CT21" s="53">
        <f t="shared" si="244"/>
        <v>46311</v>
      </c>
      <c r="CU21" s="51">
        <f t="shared" si="35"/>
        <v>46314</v>
      </c>
      <c r="CV21" s="52">
        <f t="shared" ref="CV21:CY21" si="245">CU21+1</f>
        <v>46315</v>
      </c>
      <c r="CW21" s="52">
        <f t="shared" si="245"/>
        <v>46316</v>
      </c>
      <c r="CX21" s="52">
        <f t="shared" si="245"/>
        <v>46317</v>
      </c>
      <c r="CY21" s="53">
        <f t="shared" si="245"/>
        <v>46318</v>
      </c>
      <c r="CZ21" s="51">
        <f t="shared" si="37"/>
        <v>46321</v>
      </c>
      <c r="DA21" s="52">
        <f t="shared" ref="DA21:DD21" si="246">CZ21+1</f>
        <v>46322</v>
      </c>
      <c r="DB21" s="52">
        <f t="shared" si="246"/>
        <v>46323</v>
      </c>
      <c r="DC21" s="52">
        <f t="shared" si="246"/>
        <v>46324</v>
      </c>
      <c r="DD21" s="53">
        <f t="shared" si="246"/>
        <v>46325</v>
      </c>
      <c r="DE21" s="51">
        <f t="shared" si="39"/>
        <v>46328</v>
      </c>
      <c r="DF21" s="52">
        <f t="shared" ref="DF21:DI21" si="247">DE21+1</f>
        <v>46329</v>
      </c>
      <c r="DG21" s="52">
        <f t="shared" si="247"/>
        <v>46330</v>
      </c>
      <c r="DH21" s="52">
        <f t="shared" si="247"/>
        <v>46331</v>
      </c>
      <c r="DI21" s="53">
        <f t="shared" si="247"/>
        <v>46332</v>
      </c>
      <c r="DJ21" s="51">
        <f t="shared" si="41"/>
        <v>46335</v>
      </c>
      <c r="DK21" s="52">
        <f t="shared" ref="DK21:DN21" si="248">DJ21+1</f>
        <v>46336</v>
      </c>
      <c r="DL21" s="52">
        <f t="shared" si="248"/>
        <v>46337</v>
      </c>
      <c r="DM21" s="52">
        <f t="shared" si="248"/>
        <v>46338</v>
      </c>
      <c r="DN21" s="53">
        <f t="shared" si="248"/>
        <v>46339</v>
      </c>
      <c r="DO21" s="51">
        <f t="shared" si="43"/>
        <v>46342</v>
      </c>
      <c r="DP21" s="52">
        <f t="shared" ref="DP21:DS21" si="249">DO21+1</f>
        <v>46343</v>
      </c>
      <c r="DQ21" s="52">
        <f t="shared" si="249"/>
        <v>46344</v>
      </c>
      <c r="DR21" s="52">
        <f t="shared" si="249"/>
        <v>46345</v>
      </c>
      <c r="DS21" s="53">
        <f t="shared" si="249"/>
        <v>46346</v>
      </c>
      <c r="DT21" s="51">
        <f t="shared" si="45"/>
        <v>46349</v>
      </c>
      <c r="DU21" s="52">
        <f t="shared" ref="DU21:DX21" si="250">DT21+1</f>
        <v>46350</v>
      </c>
      <c r="DV21" s="52">
        <f t="shared" si="250"/>
        <v>46351</v>
      </c>
      <c r="DW21" s="52">
        <f t="shared" si="250"/>
        <v>46352</v>
      </c>
      <c r="DX21" s="53">
        <f t="shared" si="250"/>
        <v>46353</v>
      </c>
      <c r="DY21" s="51">
        <f t="shared" si="47"/>
        <v>46356</v>
      </c>
      <c r="DZ21" s="52">
        <f t="shared" ref="DZ21:EC21" si="251">DY21+1</f>
        <v>46357</v>
      </c>
      <c r="EA21" s="52">
        <f t="shared" si="251"/>
        <v>46358</v>
      </c>
      <c r="EB21" s="52">
        <f t="shared" si="251"/>
        <v>46359</v>
      </c>
      <c r="EC21" s="53">
        <f t="shared" si="251"/>
        <v>46360</v>
      </c>
      <c r="ED21" s="51">
        <f t="shared" si="49"/>
        <v>46363</v>
      </c>
      <c r="EE21" s="52">
        <f t="shared" ref="EE21:EH21" si="252">ED21+1</f>
        <v>46364</v>
      </c>
      <c r="EF21" s="52">
        <f t="shared" si="252"/>
        <v>46365</v>
      </c>
      <c r="EG21" s="52">
        <f t="shared" si="252"/>
        <v>46366</v>
      </c>
      <c r="EH21" s="53">
        <f t="shared" si="252"/>
        <v>46367</v>
      </c>
      <c r="EI21" s="51">
        <f t="shared" si="51"/>
        <v>46370</v>
      </c>
      <c r="EJ21" s="52">
        <f t="shared" ref="EJ21:EM21" si="253">EI21+1</f>
        <v>46371</v>
      </c>
      <c r="EK21" s="52">
        <f t="shared" si="253"/>
        <v>46372</v>
      </c>
      <c r="EL21" s="52">
        <f t="shared" si="253"/>
        <v>46373</v>
      </c>
      <c r="EM21" s="53">
        <f t="shared" si="253"/>
        <v>46374</v>
      </c>
      <c r="EN21" s="51">
        <f t="shared" si="53"/>
        <v>46377</v>
      </c>
      <c r="EO21" s="52">
        <f t="shared" ref="EO21:ER21" si="254">EN21+1</f>
        <v>46378</v>
      </c>
      <c r="EP21" s="52">
        <f t="shared" si="254"/>
        <v>46379</v>
      </c>
      <c r="EQ21" s="52">
        <f t="shared" si="254"/>
        <v>46380</v>
      </c>
      <c r="ER21" s="53">
        <f t="shared" si="254"/>
        <v>46381</v>
      </c>
      <c r="ES21" s="51">
        <f t="shared" si="55"/>
        <v>46384</v>
      </c>
      <c r="ET21" s="52">
        <f t="shared" ref="ET21:EW21" si="255">ES21+1</f>
        <v>46385</v>
      </c>
      <c r="EU21" s="52">
        <f t="shared" si="255"/>
        <v>46386</v>
      </c>
      <c r="EV21" s="52">
        <f t="shared" si="255"/>
        <v>46387</v>
      </c>
      <c r="EW21" s="53">
        <f t="shared" si="255"/>
        <v>46388</v>
      </c>
      <c r="EX21" s="51">
        <f t="shared" si="57"/>
        <v>46391</v>
      </c>
      <c r="EY21" s="52">
        <f t="shared" si="58"/>
        <v>46392</v>
      </c>
      <c r="EZ21" s="52">
        <f t="shared" si="29"/>
        <v>46393</v>
      </c>
      <c r="FA21" s="52">
        <f t="shared" si="29"/>
        <v>46394</v>
      </c>
      <c r="FB21" s="53">
        <f t="shared" si="29"/>
        <v>46395</v>
      </c>
    </row>
    <row r="22" spans="1:158" ht="17.25" customHeight="1" outlineLevel="1">
      <c r="A22" s="26"/>
      <c r="B22" s="34"/>
      <c r="C22" s="35" t="s">
        <v>81</v>
      </c>
      <c r="D22" s="36"/>
      <c r="E22" s="37"/>
      <c r="F22" s="38"/>
      <c r="G22" s="59"/>
      <c r="H22" s="67"/>
      <c r="I22" s="67"/>
      <c r="J22" s="68"/>
      <c r="K22" s="69"/>
      <c r="L22" s="70"/>
      <c r="M22" s="39">
        <f>MIN(M23:M23)</f>
        <v>46244</v>
      </c>
      <c r="N22" s="40">
        <f>MAX(N23:N23)</f>
        <v>46248</v>
      </c>
      <c r="O22" s="24">
        <f>O23</f>
        <v>3.787878787878788E-2</v>
      </c>
      <c r="P22" s="24"/>
      <c r="Q22" s="24"/>
      <c r="R22" s="24"/>
      <c r="S22" s="51">
        <f t="shared" si="30"/>
        <v>46202</v>
      </c>
      <c r="T22" s="52">
        <f t="shared" ref="T22:W22" si="256">S22+1</f>
        <v>46203</v>
      </c>
      <c r="U22" s="52">
        <f t="shared" si="256"/>
        <v>46204</v>
      </c>
      <c r="V22" s="52">
        <f t="shared" si="256"/>
        <v>46205</v>
      </c>
      <c r="W22" s="53">
        <f t="shared" si="256"/>
        <v>46206</v>
      </c>
      <c r="X22" s="51">
        <v>46209</v>
      </c>
      <c r="Y22" s="52">
        <v>46210</v>
      </c>
      <c r="Z22" s="52">
        <v>46211</v>
      </c>
      <c r="AA22" s="52">
        <v>46212</v>
      </c>
      <c r="AB22" s="53">
        <v>46213</v>
      </c>
      <c r="AC22" s="51">
        <v>46216</v>
      </c>
      <c r="AD22" s="52">
        <v>46217</v>
      </c>
      <c r="AE22" s="52">
        <v>46218</v>
      </c>
      <c r="AF22" s="52">
        <v>46219</v>
      </c>
      <c r="AG22" s="53">
        <v>46220</v>
      </c>
      <c r="AH22" s="51">
        <v>46223</v>
      </c>
      <c r="AI22" s="52">
        <v>46224</v>
      </c>
      <c r="AJ22" s="52">
        <v>46225</v>
      </c>
      <c r="AK22" s="52">
        <v>46226</v>
      </c>
      <c r="AL22" s="53">
        <v>46227</v>
      </c>
      <c r="AM22" s="51">
        <v>46230</v>
      </c>
      <c r="AN22" s="52">
        <v>46231</v>
      </c>
      <c r="AO22" s="52">
        <v>46232</v>
      </c>
      <c r="AP22" s="52">
        <v>46233</v>
      </c>
      <c r="AQ22" s="53">
        <v>46234</v>
      </c>
      <c r="AR22" s="51">
        <v>46237</v>
      </c>
      <c r="AS22" s="52">
        <v>46238</v>
      </c>
      <c r="AT22" s="52">
        <v>46239</v>
      </c>
      <c r="AU22" s="52">
        <v>46240</v>
      </c>
      <c r="AV22" s="53">
        <v>46241</v>
      </c>
      <c r="AW22" s="51">
        <v>46244</v>
      </c>
      <c r="AX22" s="52">
        <v>46245</v>
      </c>
      <c r="AY22" s="52">
        <v>46246</v>
      </c>
      <c r="AZ22" s="52">
        <v>46247</v>
      </c>
      <c r="BA22" s="53">
        <v>46248</v>
      </c>
      <c r="BB22" s="51">
        <v>46251</v>
      </c>
      <c r="BC22" s="52">
        <v>46252</v>
      </c>
      <c r="BD22" s="52">
        <v>46253</v>
      </c>
      <c r="BE22" s="52">
        <v>46254</v>
      </c>
      <c r="BF22" s="53">
        <v>46255</v>
      </c>
      <c r="BG22" s="51">
        <v>46258</v>
      </c>
      <c r="BH22" s="52">
        <v>46259</v>
      </c>
      <c r="BI22" s="52">
        <v>46260</v>
      </c>
      <c r="BJ22" s="52">
        <v>46261</v>
      </c>
      <c r="BK22" s="53">
        <v>46262</v>
      </c>
      <c r="BL22" s="51">
        <v>46265</v>
      </c>
      <c r="BM22" s="52">
        <v>46266</v>
      </c>
      <c r="BN22" s="52">
        <v>46267</v>
      </c>
      <c r="BO22" s="52">
        <v>46268</v>
      </c>
      <c r="BP22" s="53">
        <v>46269</v>
      </c>
      <c r="BQ22" s="51">
        <v>46272</v>
      </c>
      <c r="BR22" s="52">
        <v>46273</v>
      </c>
      <c r="BS22" s="52">
        <v>46274</v>
      </c>
      <c r="BT22" s="52">
        <v>46275</v>
      </c>
      <c r="BU22" s="53">
        <v>46276</v>
      </c>
      <c r="BV22" s="51">
        <v>46279</v>
      </c>
      <c r="BW22" s="52">
        <v>46280</v>
      </c>
      <c r="BX22" s="52">
        <v>46281</v>
      </c>
      <c r="BY22" s="52">
        <v>46282</v>
      </c>
      <c r="BZ22" s="53">
        <v>46283</v>
      </c>
      <c r="CA22" s="51">
        <v>46286</v>
      </c>
      <c r="CB22" s="52">
        <v>46287</v>
      </c>
      <c r="CC22" s="52">
        <v>46288</v>
      </c>
      <c r="CD22" s="52">
        <v>46289</v>
      </c>
      <c r="CE22" s="53">
        <v>46290</v>
      </c>
      <c r="CF22" s="51">
        <v>46293</v>
      </c>
      <c r="CG22" s="52">
        <v>46294</v>
      </c>
      <c r="CH22" s="52">
        <v>46295</v>
      </c>
      <c r="CI22" s="52">
        <v>46296</v>
      </c>
      <c r="CJ22" s="53">
        <v>46297</v>
      </c>
      <c r="CK22" s="51">
        <f t="shared" si="32"/>
        <v>46300</v>
      </c>
      <c r="CL22" s="52">
        <f t="shared" ref="CL22:CO22" si="257">CK22+1</f>
        <v>46301</v>
      </c>
      <c r="CM22" s="52">
        <f t="shared" si="257"/>
        <v>46302</v>
      </c>
      <c r="CN22" s="52">
        <f t="shared" si="257"/>
        <v>46303</v>
      </c>
      <c r="CO22" s="53">
        <f t="shared" si="257"/>
        <v>46304</v>
      </c>
      <c r="CP22" s="51">
        <f t="shared" si="61"/>
        <v>46307</v>
      </c>
      <c r="CQ22" s="52">
        <f t="shared" ref="CQ22:CT22" si="258">CP22+1</f>
        <v>46308</v>
      </c>
      <c r="CR22" s="52">
        <f t="shared" si="258"/>
        <v>46309</v>
      </c>
      <c r="CS22" s="52">
        <f t="shared" si="258"/>
        <v>46310</v>
      </c>
      <c r="CT22" s="53">
        <f t="shared" si="258"/>
        <v>46311</v>
      </c>
      <c r="CU22" s="51">
        <f t="shared" si="35"/>
        <v>46314</v>
      </c>
      <c r="CV22" s="52">
        <f t="shared" ref="CV22:CY22" si="259">CU22+1</f>
        <v>46315</v>
      </c>
      <c r="CW22" s="52">
        <f t="shared" si="259"/>
        <v>46316</v>
      </c>
      <c r="CX22" s="52">
        <f t="shared" si="259"/>
        <v>46317</v>
      </c>
      <c r="CY22" s="53">
        <f t="shared" si="259"/>
        <v>46318</v>
      </c>
      <c r="CZ22" s="51">
        <f t="shared" si="37"/>
        <v>46321</v>
      </c>
      <c r="DA22" s="52">
        <f t="shared" ref="DA22:DD22" si="260">CZ22+1</f>
        <v>46322</v>
      </c>
      <c r="DB22" s="52">
        <f t="shared" si="260"/>
        <v>46323</v>
      </c>
      <c r="DC22" s="52">
        <f t="shared" si="260"/>
        <v>46324</v>
      </c>
      <c r="DD22" s="53">
        <f t="shared" si="260"/>
        <v>46325</v>
      </c>
      <c r="DE22" s="51">
        <f t="shared" si="39"/>
        <v>46328</v>
      </c>
      <c r="DF22" s="52">
        <f t="shared" ref="DF22:DI22" si="261">DE22+1</f>
        <v>46329</v>
      </c>
      <c r="DG22" s="52">
        <f t="shared" si="261"/>
        <v>46330</v>
      </c>
      <c r="DH22" s="52">
        <f t="shared" si="261"/>
        <v>46331</v>
      </c>
      <c r="DI22" s="53">
        <f t="shared" si="261"/>
        <v>46332</v>
      </c>
      <c r="DJ22" s="51">
        <f t="shared" si="41"/>
        <v>46335</v>
      </c>
      <c r="DK22" s="52">
        <f t="shared" ref="DK22:DN22" si="262">DJ22+1</f>
        <v>46336</v>
      </c>
      <c r="DL22" s="52">
        <f t="shared" si="262"/>
        <v>46337</v>
      </c>
      <c r="DM22" s="52">
        <f t="shared" si="262"/>
        <v>46338</v>
      </c>
      <c r="DN22" s="53">
        <f t="shared" si="262"/>
        <v>46339</v>
      </c>
      <c r="DO22" s="51">
        <f t="shared" si="43"/>
        <v>46342</v>
      </c>
      <c r="DP22" s="52">
        <f t="shared" ref="DP22:DS22" si="263">DO22+1</f>
        <v>46343</v>
      </c>
      <c r="DQ22" s="52">
        <f t="shared" si="263"/>
        <v>46344</v>
      </c>
      <c r="DR22" s="52">
        <f t="shared" si="263"/>
        <v>46345</v>
      </c>
      <c r="DS22" s="53">
        <f t="shared" si="263"/>
        <v>46346</v>
      </c>
      <c r="DT22" s="51">
        <f t="shared" si="45"/>
        <v>46349</v>
      </c>
      <c r="DU22" s="52">
        <f t="shared" ref="DU22:DX22" si="264">DT22+1</f>
        <v>46350</v>
      </c>
      <c r="DV22" s="52">
        <f t="shared" si="264"/>
        <v>46351</v>
      </c>
      <c r="DW22" s="52">
        <f t="shared" si="264"/>
        <v>46352</v>
      </c>
      <c r="DX22" s="53">
        <f t="shared" si="264"/>
        <v>46353</v>
      </c>
      <c r="DY22" s="51">
        <f t="shared" si="47"/>
        <v>46356</v>
      </c>
      <c r="DZ22" s="52">
        <f t="shared" ref="DZ22:EC22" si="265">DY22+1</f>
        <v>46357</v>
      </c>
      <c r="EA22" s="52">
        <f t="shared" si="265"/>
        <v>46358</v>
      </c>
      <c r="EB22" s="52">
        <f t="shared" si="265"/>
        <v>46359</v>
      </c>
      <c r="EC22" s="53">
        <f t="shared" si="265"/>
        <v>46360</v>
      </c>
      <c r="ED22" s="51">
        <f t="shared" si="49"/>
        <v>46363</v>
      </c>
      <c r="EE22" s="52">
        <f t="shared" ref="EE22:EH22" si="266">ED22+1</f>
        <v>46364</v>
      </c>
      <c r="EF22" s="52">
        <f t="shared" si="266"/>
        <v>46365</v>
      </c>
      <c r="EG22" s="52">
        <f t="shared" si="266"/>
        <v>46366</v>
      </c>
      <c r="EH22" s="53">
        <f t="shared" si="266"/>
        <v>46367</v>
      </c>
      <c r="EI22" s="51">
        <f t="shared" si="51"/>
        <v>46370</v>
      </c>
      <c r="EJ22" s="52">
        <f t="shared" ref="EJ22:EM22" si="267">EI22+1</f>
        <v>46371</v>
      </c>
      <c r="EK22" s="52">
        <f t="shared" si="267"/>
        <v>46372</v>
      </c>
      <c r="EL22" s="52">
        <f t="shared" si="267"/>
        <v>46373</v>
      </c>
      <c r="EM22" s="53">
        <f t="shared" si="267"/>
        <v>46374</v>
      </c>
      <c r="EN22" s="51">
        <f t="shared" si="53"/>
        <v>46377</v>
      </c>
      <c r="EO22" s="52">
        <f t="shared" ref="EO22:ER22" si="268">EN22+1</f>
        <v>46378</v>
      </c>
      <c r="EP22" s="52">
        <f t="shared" si="268"/>
        <v>46379</v>
      </c>
      <c r="EQ22" s="52">
        <f t="shared" si="268"/>
        <v>46380</v>
      </c>
      <c r="ER22" s="53">
        <f t="shared" si="268"/>
        <v>46381</v>
      </c>
      <c r="ES22" s="51">
        <f t="shared" si="55"/>
        <v>46384</v>
      </c>
      <c r="ET22" s="52">
        <f t="shared" ref="ET22:EW22" si="269">ES22+1</f>
        <v>46385</v>
      </c>
      <c r="EU22" s="52">
        <f t="shared" si="269"/>
        <v>46386</v>
      </c>
      <c r="EV22" s="52">
        <f t="shared" si="269"/>
        <v>46387</v>
      </c>
      <c r="EW22" s="53">
        <f t="shared" si="269"/>
        <v>46388</v>
      </c>
      <c r="EX22" s="51">
        <f t="shared" si="57"/>
        <v>46391</v>
      </c>
      <c r="EY22" s="52">
        <f t="shared" si="58"/>
        <v>46392</v>
      </c>
      <c r="EZ22" s="52">
        <f t="shared" si="29"/>
        <v>46393</v>
      </c>
      <c r="FA22" s="52">
        <f t="shared" si="29"/>
        <v>46394</v>
      </c>
      <c r="FB22" s="53">
        <f t="shared" si="29"/>
        <v>46395</v>
      </c>
    </row>
    <row r="23" spans="1:158" ht="18" customHeight="1" outlineLevel="2">
      <c r="A23" s="26"/>
      <c r="B23" s="34"/>
      <c r="C23" s="34"/>
      <c r="D23" s="41" t="s">
        <v>83</v>
      </c>
      <c r="E23" s="42"/>
      <c r="F23" s="43"/>
      <c r="G23" s="60"/>
      <c r="H23" s="71" t="s">
        <v>18</v>
      </c>
      <c r="I23" s="71" t="s">
        <v>18</v>
      </c>
      <c r="J23" s="72" t="s">
        <v>18</v>
      </c>
      <c r="K23" s="73"/>
      <c r="L23" s="74" t="s">
        <v>120</v>
      </c>
      <c r="M23" s="46">
        <v>46244</v>
      </c>
      <c r="N23" s="44">
        <v>46248</v>
      </c>
      <c r="O23" s="14">
        <f>5/132</f>
        <v>3.787878787878788E-2</v>
      </c>
      <c r="P23" s="14"/>
      <c r="Q23" s="15"/>
      <c r="R23" s="14"/>
      <c r="S23" s="51">
        <f t="shared" si="30"/>
        <v>46202</v>
      </c>
      <c r="T23" s="52">
        <f t="shared" ref="T23:W23" si="270">S23+1</f>
        <v>46203</v>
      </c>
      <c r="U23" s="52">
        <f t="shared" si="270"/>
        <v>46204</v>
      </c>
      <c r="V23" s="52">
        <f t="shared" si="270"/>
        <v>46205</v>
      </c>
      <c r="W23" s="53">
        <f t="shared" si="270"/>
        <v>46206</v>
      </c>
      <c r="X23" s="51">
        <v>46209</v>
      </c>
      <c r="Y23" s="52">
        <v>46210</v>
      </c>
      <c r="Z23" s="52">
        <v>46211</v>
      </c>
      <c r="AA23" s="52">
        <v>46212</v>
      </c>
      <c r="AB23" s="53">
        <v>46213</v>
      </c>
      <c r="AC23" s="51">
        <v>46216</v>
      </c>
      <c r="AD23" s="52">
        <v>46217</v>
      </c>
      <c r="AE23" s="52">
        <v>46218</v>
      </c>
      <c r="AF23" s="52">
        <v>46219</v>
      </c>
      <c r="AG23" s="53">
        <v>46220</v>
      </c>
      <c r="AH23" s="51">
        <v>46223</v>
      </c>
      <c r="AI23" s="52">
        <v>46224</v>
      </c>
      <c r="AJ23" s="52">
        <v>46225</v>
      </c>
      <c r="AK23" s="52">
        <v>46226</v>
      </c>
      <c r="AL23" s="53">
        <v>46227</v>
      </c>
      <c r="AM23" s="51">
        <v>46230</v>
      </c>
      <c r="AN23" s="52">
        <v>46231</v>
      </c>
      <c r="AO23" s="52">
        <v>46232</v>
      </c>
      <c r="AP23" s="52">
        <v>46233</v>
      </c>
      <c r="AQ23" s="53">
        <v>46234</v>
      </c>
      <c r="AR23" s="51">
        <v>46237</v>
      </c>
      <c r="AS23" s="52">
        <v>46238</v>
      </c>
      <c r="AT23" s="52">
        <v>46239</v>
      </c>
      <c r="AU23" s="52">
        <v>46240</v>
      </c>
      <c r="AV23" s="53">
        <v>46241</v>
      </c>
      <c r="AW23" s="51">
        <v>46244</v>
      </c>
      <c r="AX23" s="52">
        <v>46245</v>
      </c>
      <c r="AY23" s="52">
        <v>46246</v>
      </c>
      <c r="AZ23" s="52">
        <v>46247</v>
      </c>
      <c r="BA23" s="53">
        <v>46248</v>
      </c>
      <c r="BB23" s="51">
        <v>46251</v>
      </c>
      <c r="BC23" s="52">
        <v>46252</v>
      </c>
      <c r="BD23" s="52">
        <v>46253</v>
      </c>
      <c r="BE23" s="52">
        <v>46254</v>
      </c>
      <c r="BF23" s="53">
        <v>46255</v>
      </c>
      <c r="BG23" s="51">
        <v>46258</v>
      </c>
      <c r="BH23" s="52">
        <v>46259</v>
      </c>
      <c r="BI23" s="52">
        <v>46260</v>
      </c>
      <c r="BJ23" s="52">
        <v>46261</v>
      </c>
      <c r="BK23" s="53">
        <v>46262</v>
      </c>
      <c r="BL23" s="51">
        <v>46265</v>
      </c>
      <c r="BM23" s="52">
        <v>46266</v>
      </c>
      <c r="BN23" s="52">
        <v>46267</v>
      </c>
      <c r="BO23" s="52">
        <v>46268</v>
      </c>
      <c r="BP23" s="53">
        <v>46269</v>
      </c>
      <c r="BQ23" s="51">
        <v>46272</v>
      </c>
      <c r="BR23" s="52">
        <v>46273</v>
      </c>
      <c r="BS23" s="52">
        <v>46274</v>
      </c>
      <c r="BT23" s="52">
        <v>46275</v>
      </c>
      <c r="BU23" s="53">
        <v>46276</v>
      </c>
      <c r="BV23" s="51">
        <v>46279</v>
      </c>
      <c r="BW23" s="52">
        <v>46280</v>
      </c>
      <c r="BX23" s="52">
        <v>46281</v>
      </c>
      <c r="BY23" s="52">
        <v>46282</v>
      </c>
      <c r="BZ23" s="53">
        <v>46283</v>
      </c>
      <c r="CA23" s="51">
        <v>46286</v>
      </c>
      <c r="CB23" s="52">
        <v>46287</v>
      </c>
      <c r="CC23" s="52">
        <v>46288</v>
      </c>
      <c r="CD23" s="52">
        <v>46289</v>
      </c>
      <c r="CE23" s="53">
        <v>46290</v>
      </c>
      <c r="CF23" s="51">
        <v>46293</v>
      </c>
      <c r="CG23" s="52">
        <v>46294</v>
      </c>
      <c r="CH23" s="52">
        <v>46295</v>
      </c>
      <c r="CI23" s="52">
        <v>46296</v>
      </c>
      <c r="CJ23" s="53">
        <v>46297</v>
      </c>
      <c r="CK23" s="51">
        <f t="shared" si="32"/>
        <v>46300</v>
      </c>
      <c r="CL23" s="52">
        <f t="shared" ref="CL23:CO23" si="271">CK23+1</f>
        <v>46301</v>
      </c>
      <c r="CM23" s="52">
        <f t="shared" si="271"/>
        <v>46302</v>
      </c>
      <c r="CN23" s="52">
        <f t="shared" si="271"/>
        <v>46303</v>
      </c>
      <c r="CO23" s="53">
        <f t="shared" si="271"/>
        <v>46304</v>
      </c>
      <c r="CP23" s="51">
        <f t="shared" si="61"/>
        <v>46307</v>
      </c>
      <c r="CQ23" s="52">
        <f t="shared" ref="CQ23:CT23" si="272">CP23+1</f>
        <v>46308</v>
      </c>
      <c r="CR23" s="52">
        <f t="shared" si="272"/>
        <v>46309</v>
      </c>
      <c r="CS23" s="52">
        <f t="shared" si="272"/>
        <v>46310</v>
      </c>
      <c r="CT23" s="53">
        <f t="shared" si="272"/>
        <v>46311</v>
      </c>
      <c r="CU23" s="51">
        <f t="shared" si="35"/>
        <v>46314</v>
      </c>
      <c r="CV23" s="52">
        <f t="shared" ref="CV23:CY23" si="273">CU23+1</f>
        <v>46315</v>
      </c>
      <c r="CW23" s="52">
        <f t="shared" si="273"/>
        <v>46316</v>
      </c>
      <c r="CX23" s="52">
        <f t="shared" si="273"/>
        <v>46317</v>
      </c>
      <c r="CY23" s="53">
        <f t="shared" si="273"/>
        <v>46318</v>
      </c>
      <c r="CZ23" s="51">
        <f t="shared" si="37"/>
        <v>46321</v>
      </c>
      <c r="DA23" s="52">
        <f t="shared" ref="DA23:DD23" si="274">CZ23+1</f>
        <v>46322</v>
      </c>
      <c r="DB23" s="52">
        <f t="shared" si="274"/>
        <v>46323</v>
      </c>
      <c r="DC23" s="52">
        <f t="shared" si="274"/>
        <v>46324</v>
      </c>
      <c r="DD23" s="53">
        <f t="shared" si="274"/>
        <v>46325</v>
      </c>
      <c r="DE23" s="51">
        <f t="shared" si="39"/>
        <v>46328</v>
      </c>
      <c r="DF23" s="52">
        <f t="shared" ref="DF23:DI23" si="275">DE23+1</f>
        <v>46329</v>
      </c>
      <c r="DG23" s="52">
        <f t="shared" si="275"/>
        <v>46330</v>
      </c>
      <c r="DH23" s="52">
        <f t="shared" si="275"/>
        <v>46331</v>
      </c>
      <c r="DI23" s="53">
        <f t="shared" si="275"/>
        <v>46332</v>
      </c>
      <c r="DJ23" s="51">
        <f t="shared" si="41"/>
        <v>46335</v>
      </c>
      <c r="DK23" s="52">
        <f t="shared" ref="DK23:DN23" si="276">DJ23+1</f>
        <v>46336</v>
      </c>
      <c r="DL23" s="52">
        <f t="shared" si="276"/>
        <v>46337</v>
      </c>
      <c r="DM23" s="52">
        <f t="shared" si="276"/>
        <v>46338</v>
      </c>
      <c r="DN23" s="53">
        <f t="shared" si="276"/>
        <v>46339</v>
      </c>
      <c r="DO23" s="51">
        <f t="shared" si="43"/>
        <v>46342</v>
      </c>
      <c r="DP23" s="52">
        <f t="shared" ref="DP23:DS23" si="277">DO23+1</f>
        <v>46343</v>
      </c>
      <c r="DQ23" s="52">
        <f t="shared" si="277"/>
        <v>46344</v>
      </c>
      <c r="DR23" s="52">
        <f t="shared" si="277"/>
        <v>46345</v>
      </c>
      <c r="DS23" s="53">
        <f t="shared" si="277"/>
        <v>46346</v>
      </c>
      <c r="DT23" s="51">
        <f t="shared" si="45"/>
        <v>46349</v>
      </c>
      <c r="DU23" s="52">
        <f t="shared" ref="DU23:DX23" si="278">DT23+1</f>
        <v>46350</v>
      </c>
      <c r="DV23" s="52">
        <f t="shared" si="278"/>
        <v>46351</v>
      </c>
      <c r="DW23" s="52">
        <f t="shared" si="278"/>
        <v>46352</v>
      </c>
      <c r="DX23" s="53">
        <f t="shared" si="278"/>
        <v>46353</v>
      </c>
      <c r="DY23" s="51">
        <f t="shared" si="47"/>
        <v>46356</v>
      </c>
      <c r="DZ23" s="52">
        <f t="shared" ref="DZ23:EC23" si="279">DY23+1</f>
        <v>46357</v>
      </c>
      <c r="EA23" s="52">
        <f t="shared" si="279"/>
        <v>46358</v>
      </c>
      <c r="EB23" s="52">
        <f t="shared" si="279"/>
        <v>46359</v>
      </c>
      <c r="EC23" s="53">
        <f t="shared" si="279"/>
        <v>46360</v>
      </c>
      <c r="ED23" s="51">
        <f t="shared" si="49"/>
        <v>46363</v>
      </c>
      <c r="EE23" s="52">
        <f t="shared" ref="EE23:EH23" si="280">ED23+1</f>
        <v>46364</v>
      </c>
      <c r="EF23" s="52">
        <f t="shared" si="280"/>
        <v>46365</v>
      </c>
      <c r="EG23" s="52">
        <f t="shared" si="280"/>
        <v>46366</v>
      </c>
      <c r="EH23" s="53">
        <f t="shared" si="280"/>
        <v>46367</v>
      </c>
      <c r="EI23" s="51">
        <f t="shared" si="51"/>
        <v>46370</v>
      </c>
      <c r="EJ23" s="52">
        <f t="shared" ref="EJ23:EM23" si="281">EI23+1</f>
        <v>46371</v>
      </c>
      <c r="EK23" s="52">
        <f t="shared" si="281"/>
        <v>46372</v>
      </c>
      <c r="EL23" s="52">
        <f t="shared" si="281"/>
        <v>46373</v>
      </c>
      <c r="EM23" s="53">
        <f t="shared" si="281"/>
        <v>46374</v>
      </c>
      <c r="EN23" s="51">
        <f t="shared" si="53"/>
        <v>46377</v>
      </c>
      <c r="EO23" s="52">
        <f t="shared" ref="EO23:ER23" si="282">EN23+1</f>
        <v>46378</v>
      </c>
      <c r="EP23" s="52">
        <f t="shared" si="282"/>
        <v>46379</v>
      </c>
      <c r="EQ23" s="52">
        <f t="shared" si="282"/>
        <v>46380</v>
      </c>
      <c r="ER23" s="53">
        <f t="shared" si="282"/>
        <v>46381</v>
      </c>
      <c r="ES23" s="51">
        <f t="shared" si="55"/>
        <v>46384</v>
      </c>
      <c r="ET23" s="52">
        <f t="shared" ref="ET23:EW23" si="283">ES23+1</f>
        <v>46385</v>
      </c>
      <c r="EU23" s="52">
        <f t="shared" si="283"/>
        <v>46386</v>
      </c>
      <c r="EV23" s="52">
        <f t="shared" si="283"/>
        <v>46387</v>
      </c>
      <c r="EW23" s="53">
        <f t="shared" si="283"/>
        <v>46388</v>
      </c>
      <c r="EX23" s="51">
        <f t="shared" si="57"/>
        <v>46391</v>
      </c>
      <c r="EY23" s="52">
        <f t="shared" si="58"/>
        <v>46392</v>
      </c>
      <c r="EZ23" s="52">
        <f t="shared" si="29"/>
        <v>46393</v>
      </c>
      <c r="FA23" s="52">
        <f t="shared" si="29"/>
        <v>46394</v>
      </c>
      <c r="FB23" s="53">
        <f t="shared" si="29"/>
        <v>46395</v>
      </c>
    </row>
    <row r="24" spans="1:158" ht="18" customHeight="1" outlineLevel="1">
      <c r="A24" s="26"/>
      <c r="B24" s="34"/>
      <c r="C24" s="57" t="s">
        <v>82</v>
      </c>
      <c r="D24" s="36"/>
      <c r="E24" s="37"/>
      <c r="F24" s="38"/>
      <c r="G24" s="59"/>
      <c r="H24" s="67"/>
      <c r="I24" s="67"/>
      <c r="J24" s="68"/>
      <c r="K24" s="69"/>
      <c r="L24" s="70"/>
      <c r="M24" s="39">
        <f>MIN(M25:M28)</f>
        <v>46204</v>
      </c>
      <c r="N24" s="45">
        <f>MAX(N25:N28)</f>
        <v>46318</v>
      </c>
      <c r="O24" s="13">
        <f>SUM(O25:O28)</f>
        <v>8.4343434343434331E-2</v>
      </c>
      <c r="P24" s="13"/>
      <c r="Q24" s="13"/>
      <c r="R24" s="13"/>
      <c r="S24" s="51">
        <f t="shared" si="30"/>
        <v>46202</v>
      </c>
      <c r="T24" s="52">
        <f t="shared" ref="T24:W24" si="284">S24+1</f>
        <v>46203</v>
      </c>
      <c r="U24" s="52">
        <f t="shared" si="284"/>
        <v>46204</v>
      </c>
      <c r="V24" s="52">
        <f t="shared" si="284"/>
        <v>46205</v>
      </c>
      <c r="W24" s="53">
        <f t="shared" si="284"/>
        <v>46206</v>
      </c>
      <c r="X24" s="51">
        <v>46209</v>
      </c>
      <c r="Y24" s="52">
        <v>46210</v>
      </c>
      <c r="Z24" s="52">
        <v>46211</v>
      </c>
      <c r="AA24" s="52">
        <v>46212</v>
      </c>
      <c r="AB24" s="53">
        <v>46213</v>
      </c>
      <c r="AC24" s="51">
        <v>46216</v>
      </c>
      <c r="AD24" s="52">
        <v>46217</v>
      </c>
      <c r="AE24" s="52">
        <v>46218</v>
      </c>
      <c r="AF24" s="52">
        <v>46219</v>
      </c>
      <c r="AG24" s="53">
        <v>46220</v>
      </c>
      <c r="AH24" s="51">
        <v>46223</v>
      </c>
      <c r="AI24" s="52">
        <v>46224</v>
      </c>
      <c r="AJ24" s="52">
        <v>46225</v>
      </c>
      <c r="AK24" s="52">
        <v>46226</v>
      </c>
      <c r="AL24" s="53">
        <v>46227</v>
      </c>
      <c r="AM24" s="51">
        <v>46230</v>
      </c>
      <c r="AN24" s="52">
        <v>46231</v>
      </c>
      <c r="AO24" s="52">
        <v>46232</v>
      </c>
      <c r="AP24" s="52">
        <v>46233</v>
      </c>
      <c r="AQ24" s="53">
        <v>46234</v>
      </c>
      <c r="AR24" s="51">
        <v>46237</v>
      </c>
      <c r="AS24" s="52">
        <v>46238</v>
      </c>
      <c r="AT24" s="52">
        <v>46239</v>
      </c>
      <c r="AU24" s="52">
        <v>46240</v>
      </c>
      <c r="AV24" s="53">
        <v>46241</v>
      </c>
      <c r="AW24" s="51">
        <v>46244</v>
      </c>
      <c r="AX24" s="52">
        <v>46245</v>
      </c>
      <c r="AY24" s="52">
        <v>46246</v>
      </c>
      <c r="AZ24" s="52">
        <v>46247</v>
      </c>
      <c r="BA24" s="53">
        <v>46248</v>
      </c>
      <c r="BB24" s="51">
        <v>46251</v>
      </c>
      <c r="BC24" s="52">
        <v>46252</v>
      </c>
      <c r="BD24" s="52">
        <v>46253</v>
      </c>
      <c r="BE24" s="52">
        <v>46254</v>
      </c>
      <c r="BF24" s="53">
        <v>46255</v>
      </c>
      <c r="BG24" s="51">
        <v>46258</v>
      </c>
      <c r="BH24" s="52">
        <v>46259</v>
      </c>
      <c r="BI24" s="52">
        <v>46260</v>
      </c>
      <c r="BJ24" s="52">
        <v>46261</v>
      </c>
      <c r="BK24" s="53">
        <v>46262</v>
      </c>
      <c r="BL24" s="51">
        <v>46265</v>
      </c>
      <c r="BM24" s="52">
        <v>46266</v>
      </c>
      <c r="BN24" s="52">
        <v>46267</v>
      </c>
      <c r="BO24" s="52">
        <v>46268</v>
      </c>
      <c r="BP24" s="53">
        <v>46269</v>
      </c>
      <c r="BQ24" s="51">
        <v>46272</v>
      </c>
      <c r="BR24" s="52">
        <v>46273</v>
      </c>
      <c r="BS24" s="52">
        <v>46274</v>
      </c>
      <c r="BT24" s="52">
        <v>46275</v>
      </c>
      <c r="BU24" s="53">
        <v>46276</v>
      </c>
      <c r="BV24" s="51">
        <v>46279</v>
      </c>
      <c r="BW24" s="52">
        <v>46280</v>
      </c>
      <c r="BX24" s="52">
        <v>46281</v>
      </c>
      <c r="BY24" s="52">
        <v>46282</v>
      </c>
      <c r="BZ24" s="53">
        <v>46283</v>
      </c>
      <c r="CA24" s="51">
        <v>46286</v>
      </c>
      <c r="CB24" s="52">
        <v>46287</v>
      </c>
      <c r="CC24" s="52">
        <v>46288</v>
      </c>
      <c r="CD24" s="52">
        <v>46289</v>
      </c>
      <c r="CE24" s="53">
        <v>46290</v>
      </c>
      <c r="CF24" s="51">
        <v>46293</v>
      </c>
      <c r="CG24" s="52">
        <v>46294</v>
      </c>
      <c r="CH24" s="52">
        <v>46295</v>
      </c>
      <c r="CI24" s="52">
        <v>46296</v>
      </c>
      <c r="CJ24" s="53">
        <v>46297</v>
      </c>
      <c r="CK24" s="51">
        <f t="shared" si="32"/>
        <v>46300</v>
      </c>
      <c r="CL24" s="52">
        <f t="shared" ref="CL24:CO24" si="285">CK24+1</f>
        <v>46301</v>
      </c>
      <c r="CM24" s="52">
        <f t="shared" si="285"/>
        <v>46302</v>
      </c>
      <c r="CN24" s="52">
        <f t="shared" si="285"/>
        <v>46303</v>
      </c>
      <c r="CO24" s="53">
        <f t="shared" si="285"/>
        <v>46304</v>
      </c>
      <c r="CP24" s="51">
        <f t="shared" si="61"/>
        <v>46307</v>
      </c>
      <c r="CQ24" s="52">
        <f t="shared" ref="CQ24:CT24" si="286">CP24+1</f>
        <v>46308</v>
      </c>
      <c r="CR24" s="52">
        <f t="shared" si="286"/>
        <v>46309</v>
      </c>
      <c r="CS24" s="52">
        <f t="shared" si="286"/>
        <v>46310</v>
      </c>
      <c r="CT24" s="53">
        <f t="shared" si="286"/>
        <v>46311</v>
      </c>
      <c r="CU24" s="51">
        <f t="shared" si="35"/>
        <v>46314</v>
      </c>
      <c r="CV24" s="52">
        <f t="shared" ref="CV24:CY24" si="287">CU24+1</f>
        <v>46315</v>
      </c>
      <c r="CW24" s="52">
        <f t="shared" si="287"/>
        <v>46316</v>
      </c>
      <c r="CX24" s="52">
        <f t="shared" si="287"/>
        <v>46317</v>
      </c>
      <c r="CY24" s="53">
        <f t="shared" si="287"/>
        <v>46318</v>
      </c>
      <c r="CZ24" s="51">
        <f t="shared" si="37"/>
        <v>46321</v>
      </c>
      <c r="DA24" s="52">
        <f t="shared" ref="DA24:DD24" si="288">CZ24+1</f>
        <v>46322</v>
      </c>
      <c r="DB24" s="52">
        <f t="shared" si="288"/>
        <v>46323</v>
      </c>
      <c r="DC24" s="52">
        <f t="shared" si="288"/>
        <v>46324</v>
      </c>
      <c r="DD24" s="53">
        <f t="shared" si="288"/>
        <v>46325</v>
      </c>
      <c r="DE24" s="51">
        <f t="shared" si="39"/>
        <v>46328</v>
      </c>
      <c r="DF24" s="52">
        <f t="shared" ref="DF24:DI24" si="289">DE24+1</f>
        <v>46329</v>
      </c>
      <c r="DG24" s="52">
        <f t="shared" si="289"/>
        <v>46330</v>
      </c>
      <c r="DH24" s="52">
        <f t="shared" si="289"/>
        <v>46331</v>
      </c>
      <c r="DI24" s="53">
        <f t="shared" si="289"/>
        <v>46332</v>
      </c>
      <c r="DJ24" s="51">
        <f t="shared" si="41"/>
        <v>46335</v>
      </c>
      <c r="DK24" s="52">
        <f t="shared" ref="DK24:DN24" si="290">DJ24+1</f>
        <v>46336</v>
      </c>
      <c r="DL24" s="52">
        <f t="shared" si="290"/>
        <v>46337</v>
      </c>
      <c r="DM24" s="52">
        <f t="shared" si="290"/>
        <v>46338</v>
      </c>
      <c r="DN24" s="53">
        <f t="shared" si="290"/>
        <v>46339</v>
      </c>
      <c r="DO24" s="51">
        <f t="shared" si="43"/>
        <v>46342</v>
      </c>
      <c r="DP24" s="52">
        <f t="shared" ref="DP24:DS24" si="291">DO24+1</f>
        <v>46343</v>
      </c>
      <c r="DQ24" s="52">
        <f t="shared" si="291"/>
        <v>46344</v>
      </c>
      <c r="DR24" s="52">
        <f t="shared" si="291"/>
        <v>46345</v>
      </c>
      <c r="DS24" s="53">
        <f t="shared" si="291"/>
        <v>46346</v>
      </c>
      <c r="DT24" s="51">
        <f t="shared" si="45"/>
        <v>46349</v>
      </c>
      <c r="DU24" s="52">
        <f t="shared" ref="DU24:DX24" si="292">DT24+1</f>
        <v>46350</v>
      </c>
      <c r="DV24" s="52">
        <f t="shared" si="292"/>
        <v>46351</v>
      </c>
      <c r="DW24" s="52">
        <f t="shared" si="292"/>
        <v>46352</v>
      </c>
      <c r="DX24" s="53">
        <f t="shared" si="292"/>
        <v>46353</v>
      </c>
      <c r="DY24" s="51">
        <f t="shared" si="47"/>
        <v>46356</v>
      </c>
      <c r="DZ24" s="52">
        <f t="shared" ref="DZ24:EC24" si="293">DY24+1</f>
        <v>46357</v>
      </c>
      <c r="EA24" s="52">
        <f t="shared" si="293"/>
        <v>46358</v>
      </c>
      <c r="EB24" s="52">
        <f t="shared" si="293"/>
        <v>46359</v>
      </c>
      <c r="EC24" s="53">
        <f t="shared" si="293"/>
        <v>46360</v>
      </c>
      <c r="ED24" s="51">
        <f t="shared" si="49"/>
        <v>46363</v>
      </c>
      <c r="EE24" s="52">
        <f t="shared" ref="EE24:EH24" si="294">ED24+1</f>
        <v>46364</v>
      </c>
      <c r="EF24" s="52">
        <f t="shared" si="294"/>
        <v>46365</v>
      </c>
      <c r="EG24" s="52">
        <f t="shared" si="294"/>
        <v>46366</v>
      </c>
      <c r="EH24" s="53">
        <f t="shared" si="294"/>
        <v>46367</v>
      </c>
      <c r="EI24" s="51">
        <f t="shared" si="51"/>
        <v>46370</v>
      </c>
      <c r="EJ24" s="52">
        <f t="shared" ref="EJ24:EM24" si="295">EI24+1</f>
        <v>46371</v>
      </c>
      <c r="EK24" s="52">
        <f t="shared" si="295"/>
        <v>46372</v>
      </c>
      <c r="EL24" s="52">
        <f t="shared" si="295"/>
        <v>46373</v>
      </c>
      <c r="EM24" s="53">
        <f t="shared" si="295"/>
        <v>46374</v>
      </c>
      <c r="EN24" s="51">
        <f t="shared" si="53"/>
        <v>46377</v>
      </c>
      <c r="EO24" s="52">
        <f t="shared" ref="EO24:ER24" si="296">EN24+1</f>
        <v>46378</v>
      </c>
      <c r="EP24" s="52">
        <f t="shared" si="296"/>
        <v>46379</v>
      </c>
      <c r="EQ24" s="52">
        <f t="shared" si="296"/>
        <v>46380</v>
      </c>
      <c r="ER24" s="53">
        <f t="shared" si="296"/>
        <v>46381</v>
      </c>
      <c r="ES24" s="51">
        <f t="shared" si="55"/>
        <v>46384</v>
      </c>
      <c r="ET24" s="52">
        <f t="shared" ref="ET24:EW24" si="297">ES24+1</f>
        <v>46385</v>
      </c>
      <c r="EU24" s="52">
        <f t="shared" si="297"/>
        <v>46386</v>
      </c>
      <c r="EV24" s="52">
        <f t="shared" si="297"/>
        <v>46387</v>
      </c>
      <c r="EW24" s="53">
        <f t="shared" si="297"/>
        <v>46388</v>
      </c>
      <c r="EX24" s="51">
        <f t="shared" si="57"/>
        <v>46391</v>
      </c>
      <c r="EY24" s="52">
        <f>EX21+1</f>
        <v>46392</v>
      </c>
      <c r="EZ24" s="52">
        <f>EY21+1</f>
        <v>46393</v>
      </c>
      <c r="FA24" s="52">
        <f>EZ21+1</f>
        <v>46394</v>
      </c>
      <c r="FB24" s="53">
        <f>FA21+1</f>
        <v>46395</v>
      </c>
    </row>
    <row r="25" spans="1:158" ht="18" customHeight="1" outlineLevel="2">
      <c r="A25" s="26"/>
      <c r="B25" s="34"/>
      <c r="C25" s="34"/>
      <c r="D25" s="41" t="s">
        <v>141</v>
      </c>
      <c r="E25" s="42"/>
      <c r="F25" s="43"/>
      <c r="G25" s="60"/>
      <c r="H25" s="71" t="s">
        <v>18</v>
      </c>
      <c r="I25" s="71"/>
      <c r="J25" s="72"/>
      <c r="K25" s="73"/>
      <c r="L25" s="74"/>
      <c r="M25" s="46">
        <v>46204</v>
      </c>
      <c r="N25" s="44">
        <v>46220</v>
      </c>
      <c r="O25" s="48">
        <f>4/132/5*2</f>
        <v>1.2121212121212121E-2</v>
      </c>
      <c r="P25" s="14"/>
      <c r="Q25" s="15"/>
      <c r="R25" s="14"/>
      <c r="S25" s="51">
        <f t="shared" si="30"/>
        <v>46202</v>
      </c>
      <c r="T25" s="52">
        <f t="shared" ref="T25:W28" si="298">S25+1</f>
        <v>46203</v>
      </c>
      <c r="U25" s="52">
        <f t="shared" si="298"/>
        <v>46204</v>
      </c>
      <c r="V25" s="52">
        <f t="shared" si="298"/>
        <v>46205</v>
      </c>
      <c r="W25" s="53">
        <f t="shared" si="298"/>
        <v>46206</v>
      </c>
      <c r="X25" s="51">
        <v>46209</v>
      </c>
      <c r="Y25" s="52">
        <v>46210</v>
      </c>
      <c r="Z25" s="52">
        <v>46211</v>
      </c>
      <c r="AA25" s="52">
        <v>46212</v>
      </c>
      <c r="AB25" s="53">
        <v>46213</v>
      </c>
      <c r="AC25" s="51">
        <v>46216</v>
      </c>
      <c r="AD25" s="52">
        <v>46217</v>
      </c>
      <c r="AE25" s="52">
        <v>46218</v>
      </c>
      <c r="AF25" s="52">
        <v>46219</v>
      </c>
      <c r="AG25" s="53">
        <v>46220</v>
      </c>
      <c r="AH25" s="51">
        <v>46223</v>
      </c>
      <c r="AI25" s="52">
        <v>46224</v>
      </c>
      <c r="AJ25" s="52">
        <v>46225</v>
      </c>
      <c r="AK25" s="52">
        <v>46226</v>
      </c>
      <c r="AL25" s="53">
        <v>46227</v>
      </c>
      <c r="AM25" s="51">
        <v>46230</v>
      </c>
      <c r="AN25" s="52">
        <v>46231</v>
      </c>
      <c r="AO25" s="52">
        <v>46232</v>
      </c>
      <c r="AP25" s="52">
        <v>46233</v>
      </c>
      <c r="AQ25" s="53">
        <v>46234</v>
      </c>
      <c r="AR25" s="51">
        <v>46237</v>
      </c>
      <c r="AS25" s="52">
        <v>46238</v>
      </c>
      <c r="AT25" s="52">
        <v>46239</v>
      </c>
      <c r="AU25" s="52">
        <v>46240</v>
      </c>
      <c r="AV25" s="53">
        <v>46241</v>
      </c>
      <c r="AW25" s="51">
        <v>46244</v>
      </c>
      <c r="AX25" s="52">
        <v>46245</v>
      </c>
      <c r="AY25" s="52">
        <v>46246</v>
      </c>
      <c r="AZ25" s="52">
        <v>46247</v>
      </c>
      <c r="BA25" s="53">
        <v>46248</v>
      </c>
      <c r="BB25" s="51">
        <v>46251</v>
      </c>
      <c r="BC25" s="52">
        <v>46252</v>
      </c>
      <c r="BD25" s="52">
        <v>46253</v>
      </c>
      <c r="BE25" s="52">
        <v>46254</v>
      </c>
      <c r="BF25" s="53">
        <v>46255</v>
      </c>
      <c r="BG25" s="51">
        <v>46258</v>
      </c>
      <c r="BH25" s="52">
        <v>46259</v>
      </c>
      <c r="BI25" s="52">
        <v>46260</v>
      </c>
      <c r="BJ25" s="52">
        <v>46261</v>
      </c>
      <c r="BK25" s="53">
        <v>46262</v>
      </c>
      <c r="BL25" s="51">
        <v>46265</v>
      </c>
      <c r="BM25" s="52">
        <v>46266</v>
      </c>
      <c r="BN25" s="52">
        <v>46267</v>
      </c>
      <c r="BO25" s="52">
        <v>46268</v>
      </c>
      <c r="BP25" s="53">
        <v>46269</v>
      </c>
      <c r="BQ25" s="51">
        <v>46272</v>
      </c>
      <c r="BR25" s="52">
        <v>46273</v>
      </c>
      <c r="BS25" s="52">
        <v>46274</v>
      </c>
      <c r="BT25" s="52">
        <v>46275</v>
      </c>
      <c r="BU25" s="53">
        <v>46276</v>
      </c>
      <c r="BV25" s="51">
        <v>46279</v>
      </c>
      <c r="BW25" s="52">
        <v>46280</v>
      </c>
      <c r="BX25" s="52">
        <v>46281</v>
      </c>
      <c r="BY25" s="52">
        <v>46282</v>
      </c>
      <c r="BZ25" s="53">
        <v>46283</v>
      </c>
      <c r="CA25" s="51">
        <v>46286</v>
      </c>
      <c r="CB25" s="52">
        <v>46287</v>
      </c>
      <c r="CC25" s="52">
        <v>46288</v>
      </c>
      <c r="CD25" s="52">
        <v>46289</v>
      </c>
      <c r="CE25" s="53">
        <v>46290</v>
      </c>
      <c r="CF25" s="51">
        <v>46293</v>
      </c>
      <c r="CG25" s="52">
        <v>46294</v>
      </c>
      <c r="CH25" s="52">
        <v>46295</v>
      </c>
      <c r="CI25" s="52">
        <v>46296</v>
      </c>
      <c r="CJ25" s="53">
        <v>46297</v>
      </c>
      <c r="CK25" s="51">
        <f t="shared" si="32"/>
        <v>46300</v>
      </c>
      <c r="CL25" s="52">
        <f t="shared" ref="CL25:CO28" si="299">CK25+1</f>
        <v>46301</v>
      </c>
      <c r="CM25" s="52">
        <f t="shared" si="299"/>
        <v>46302</v>
      </c>
      <c r="CN25" s="52">
        <f t="shared" si="299"/>
        <v>46303</v>
      </c>
      <c r="CO25" s="53">
        <f t="shared" si="299"/>
        <v>46304</v>
      </c>
      <c r="CP25" s="51">
        <f t="shared" si="61"/>
        <v>46307</v>
      </c>
      <c r="CQ25" s="52">
        <f t="shared" ref="CQ25:CT28" si="300">CP25+1</f>
        <v>46308</v>
      </c>
      <c r="CR25" s="52">
        <f t="shared" si="300"/>
        <v>46309</v>
      </c>
      <c r="CS25" s="52">
        <f t="shared" si="300"/>
        <v>46310</v>
      </c>
      <c r="CT25" s="53">
        <f t="shared" si="300"/>
        <v>46311</v>
      </c>
      <c r="CU25" s="51">
        <f t="shared" si="35"/>
        <v>46314</v>
      </c>
      <c r="CV25" s="52">
        <f t="shared" ref="CV25:CY28" si="301">CU25+1</f>
        <v>46315</v>
      </c>
      <c r="CW25" s="52">
        <f t="shared" si="301"/>
        <v>46316</v>
      </c>
      <c r="CX25" s="52">
        <f t="shared" si="301"/>
        <v>46317</v>
      </c>
      <c r="CY25" s="53">
        <f t="shared" si="301"/>
        <v>46318</v>
      </c>
      <c r="CZ25" s="51">
        <f t="shared" si="37"/>
        <v>46321</v>
      </c>
      <c r="DA25" s="52">
        <f t="shared" ref="DA25:DD28" si="302">CZ25+1</f>
        <v>46322</v>
      </c>
      <c r="DB25" s="52">
        <f t="shared" si="302"/>
        <v>46323</v>
      </c>
      <c r="DC25" s="52">
        <f t="shared" si="302"/>
        <v>46324</v>
      </c>
      <c r="DD25" s="53">
        <f t="shared" si="302"/>
        <v>46325</v>
      </c>
      <c r="DE25" s="51">
        <f t="shared" si="39"/>
        <v>46328</v>
      </c>
      <c r="DF25" s="52">
        <f t="shared" ref="DF25:DI28" si="303">DE25+1</f>
        <v>46329</v>
      </c>
      <c r="DG25" s="52">
        <f t="shared" si="303"/>
        <v>46330</v>
      </c>
      <c r="DH25" s="52">
        <f t="shared" si="303"/>
        <v>46331</v>
      </c>
      <c r="DI25" s="53">
        <f t="shared" si="303"/>
        <v>46332</v>
      </c>
      <c r="DJ25" s="51">
        <f t="shared" si="41"/>
        <v>46335</v>
      </c>
      <c r="DK25" s="52">
        <f t="shared" ref="DK25:DN28" si="304">DJ25+1</f>
        <v>46336</v>
      </c>
      <c r="DL25" s="52">
        <f t="shared" si="304"/>
        <v>46337</v>
      </c>
      <c r="DM25" s="52">
        <f t="shared" si="304"/>
        <v>46338</v>
      </c>
      <c r="DN25" s="53">
        <f t="shared" si="304"/>
        <v>46339</v>
      </c>
      <c r="DO25" s="51">
        <f t="shared" si="43"/>
        <v>46342</v>
      </c>
      <c r="DP25" s="52">
        <f t="shared" ref="DP25:DS28" si="305">DO25+1</f>
        <v>46343</v>
      </c>
      <c r="DQ25" s="52">
        <f t="shared" si="305"/>
        <v>46344</v>
      </c>
      <c r="DR25" s="52">
        <f t="shared" si="305"/>
        <v>46345</v>
      </c>
      <c r="DS25" s="53">
        <f t="shared" si="305"/>
        <v>46346</v>
      </c>
      <c r="DT25" s="51">
        <f t="shared" si="45"/>
        <v>46349</v>
      </c>
      <c r="DU25" s="52">
        <f t="shared" ref="DU25:DX28" si="306">DT25+1</f>
        <v>46350</v>
      </c>
      <c r="DV25" s="52">
        <f t="shared" si="306"/>
        <v>46351</v>
      </c>
      <c r="DW25" s="52">
        <f t="shared" si="306"/>
        <v>46352</v>
      </c>
      <c r="DX25" s="53">
        <f t="shared" si="306"/>
        <v>46353</v>
      </c>
      <c r="DY25" s="51">
        <f t="shared" si="47"/>
        <v>46356</v>
      </c>
      <c r="DZ25" s="52">
        <f t="shared" ref="DZ25:EC28" si="307">DY25+1</f>
        <v>46357</v>
      </c>
      <c r="EA25" s="52">
        <f t="shared" si="307"/>
        <v>46358</v>
      </c>
      <c r="EB25" s="52">
        <f t="shared" si="307"/>
        <v>46359</v>
      </c>
      <c r="EC25" s="53">
        <f t="shared" si="307"/>
        <v>46360</v>
      </c>
      <c r="ED25" s="51">
        <f t="shared" si="49"/>
        <v>46363</v>
      </c>
      <c r="EE25" s="52">
        <f t="shared" ref="EE25:EH28" si="308">ED25+1</f>
        <v>46364</v>
      </c>
      <c r="EF25" s="52">
        <f t="shared" si="308"/>
        <v>46365</v>
      </c>
      <c r="EG25" s="52">
        <f t="shared" si="308"/>
        <v>46366</v>
      </c>
      <c r="EH25" s="53">
        <f t="shared" si="308"/>
        <v>46367</v>
      </c>
      <c r="EI25" s="51">
        <f t="shared" si="51"/>
        <v>46370</v>
      </c>
      <c r="EJ25" s="52">
        <f t="shared" ref="EJ25:EM28" si="309">EI25+1</f>
        <v>46371</v>
      </c>
      <c r="EK25" s="52">
        <f t="shared" si="309"/>
        <v>46372</v>
      </c>
      <c r="EL25" s="52">
        <f t="shared" si="309"/>
        <v>46373</v>
      </c>
      <c r="EM25" s="53">
        <f t="shared" si="309"/>
        <v>46374</v>
      </c>
      <c r="EN25" s="51">
        <f t="shared" si="53"/>
        <v>46377</v>
      </c>
      <c r="EO25" s="52">
        <f t="shared" ref="EO25:ER28" si="310">EN25+1</f>
        <v>46378</v>
      </c>
      <c r="EP25" s="52">
        <f t="shared" si="310"/>
        <v>46379</v>
      </c>
      <c r="EQ25" s="52">
        <f t="shared" si="310"/>
        <v>46380</v>
      </c>
      <c r="ER25" s="53">
        <f t="shared" si="310"/>
        <v>46381</v>
      </c>
      <c r="ES25" s="51">
        <f t="shared" si="55"/>
        <v>46384</v>
      </c>
      <c r="ET25" s="52">
        <f t="shared" ref="ET25:EW28" si="311">ES25+1</f>
        <v>46385</v>
      </c>
      <c r="EU25" s="52">
        <f t="shared" si="311"/>
        <v>46386</v>
      </c>
      <c r="EV25" s="52">
        <f t="shared" si="311"/>
        <v>46387</v>
      </c>
      <c r="EW25" s="53">
        <f t="shared" si="311"/>
        <v>46388</v>
      </c>
      <c r="EX25" s="51">
        <f t="shared" si="57"/>
        <v>46391</v>
      </c>
      <c r="EY25" s="52">
        <f t="shared" si="58"/>
        <v>46392</v>
      </c>
      <c r="EZ25" s="52">
        <f t="shared" si="29"/>
        <v>46393</v>
      </c>
      <c r="FA25" s="52">
        <f t="shared" si="29"/>
        <v>46394</v>
      </c>
      <c r="FB25" s="53">
        <f t="shared" si="29"/>
        <v>46395</v>
      </c>
    </row>
    <row r="26" spans="1:158" ht="18" customHeight="1" outlineLevel="2">
      <c r="A26" s="26"/>
      <c r="B26" s="34"/>
      <c r="C26" s="34"/>
      <c r="D26" s="41" t="s">
        <v>142</v>
      </c>
      <c r="E26" s="42"/>
      <c r="F26" s="43"/>
      <c r="G26" s="60"/>
      <c r="H26" s="71"/>
      <c r="I26" s="71" t="s">
        <v>18</v>
      </c>
      <c r="J26" s="72" t="s">
        <v>18</v>
      </c>
      <c r="K26" s="73"/>
      <c r="L26" s="74"/>
      <c r="M26" s="46">
        <v>46209</v>
      </c>
      <c r="N26" s="44">
        <v>46234</v>
      </c>
      <c r="O26" s="48">
        <f>(4/132/5+3/132/6+5/132/6)*1.5</f>
        <v>2.4242424242424242E-2</v>
      </c>
      <c r="P26" s="14"/>
      <c r="Q26" s="15"/>
      <c r="R26" s="14"/>
      <c r="S26" s="51">
        <f t="shared" si="30"/>
        <v>46202</v>
      </c>
      <c r="T26" s="52">
        <f t="shared" si="298"/>
        <v>46203</v>
      </c>
      <c r="U26" s="52">
        <f t="shared" si="298"/>
        <v>46204</v>
      </c>
      <c r="V26" s="52">
        <f t="shared" si="298"/>
        <v>46205</v>
      </c>
      <c r="W26" s="53">
        <f t="shared" si="298"/>
        <v>46206</v>
      </c>
      <c r="X26" s="51">
        <v>46209</v>
      </c>
      <c r="Y26" s="52">
        <v>46210</v>
      </c>
      <c r="Z26" s="52">
        <v>46211</v>
      </c>
      <c r="AA26" s="52">
        <v>46212</v>
      </c>
      <c r="AB26" s="53">
        <v>46213</v>
      </c>
      <c r="AC26" s="51">
        <v>46216</v>
      </c>
      <c r="AD26" s="52">
        <v>46217</v>
      </c>
      <c r="AE26" s="52">
        <v>46218</v>
      </c>
      <c r="AF26" s="52">
        <v>46219</v>
      </c>
      <c r="AG26" s="53">
        <v>46220</v>
      </c>
      <c r="AH26" s="51">
        <v>46223</v>
      </c>
      <c r="AI26" s="52">
        <v>46224</v>
      </c>
      <c r="AJ26" s="52">
        <v>46225</v>
      </c>
      <c r="AK26" s="52">
        <v>46226</v>
      </c>
      <c r="AL26" s="53">
        <v>46227</v>
      </c>
      <c r="AM26" s="51">
        <v>46230</v>
      </c>
      <c r="AN26" s="52">
        <v>46231</v>
      </c>
      <c r="AO26" s="52">
        <v>46232</v>
      </c>
      <c r="AP26" s="52">
        <v>46233</v>
      </c>
      <c r="AQ26" s="53">
        <v>46234</v>
      </c>
      <c r="AR26" s="51">
        <v>46237</v>
      </c>
      <c r="AS26" s="52">
        <v>46238</v>
      </c>
      <c r="AT26" s="52">
        <v>46239</v>
      </c>
      <c r="AU26" s="52">
        <v>46240</v>
      </c>
      <c r="AV26" s="53">
        <v>46241</v>
      </c>
      <c r="AW26" s="51">
        <v>46244</v>
      </c>
      <c r="AX26" s="52">
        <v>46245</v>
      </c>
      <c r="AY26" s="52">
        <v>46246</v>
      </c>
      <c r="AZ26" s="52">
        <v>46247</v>
      </c>
      <c r="BA26" s="53">
        <v>46248</v>
      </c>
      <c r="BB26" s="51">
        <v>46251</v>
      </c>
      <c r="BC26" s="52">
        <v>46252</v>
      </c>
      <c r="BD26" s="52">
        <v>46253</v>
      </c>
      <c r="BE26" s="52">
        <v>46254</v>
      </c>
      <c r="BF26" s="53">
        <v>46255</v>
      </c>
      <c r="BG26" s="51">
        <v>46258</v>
      </c>
      <c r="BH26" s="52">
        <v>46259</v>
      </c>
      <c r="BI26" s="52">
        <v>46260</v>
      </c>
      <c r="BJ26" s="52">
        <v>46261</v>
      </c>
      <c r="BK26" s="53">
        <v>46262</v>
      </c>
      <c r="BL26" s="51">
        <v>46265</v>
      </c>
      <c r="BM26" s="52">
        <v>46266</v>
      </c>
      <c r="BN26" s="52">
        <v>46267</v>
      </c>
      <c r="BO26" s="52">
        <v>46268</v>
      </c>
      <c r="BP26" s="53">
        <v>46269</v>
      </c>
      <c r="BQ26" s="51">
        <v>46272</v>
      </c>
      <c r="BR26" s="52">
        <v>46273</v>
      </c>
      <c r="BS26" s="52">
        <v>46274</v>
      </c>
      <c r="BT26" s="52">
        <v>46275</v>
      </c>
      <c r="BU26" s="53">
        <v>46276</v>
      </c>
      <c r="BV26" s="51">
        <v>46279</v>
      </c>
      <c r="BW26" s="52">
        <v>46280</v>
      </c>
      <c r="BX26" s="52">
        <v>46281</v>
      </c>
      <c r="BY26" s="52">
        <v>46282</v>
      </c>
      <c r="BZ26" s="53">
        <v>46283</v>
      </c>
      <c r="CA26" s="51">
        <v>46286</v>
      </c>
      <c r="CB26" s="52">
        <v>46287</v>
      </c>
      <c r="CC26" s="52">
        <v>46288</v>
      </c>
      <c r="CD26" s="52">
        <v>46289</v>
      </c>
      <c r="CE26" s="53">
        <v>46290</v>
      </c>
      <c r="CF26" s="51">
        <v>46293</v>
      </c>
      <c r="CG26" s="52">
        <v>46294</v>
      </c>
      <c r="CH26" s="52">
        <v>46295</v>
      </c>
      <c r="CI26" s="52">
        <v>46296</v>
      </c>
      <c r="CJ26" s="53">
        <v>46297</v>
      </c>
      <c r="CK26" s="51">
        <f t="shared" si="32"/>
        <v>46300</v>
      </c>
      <c r="CL26" s="52">
        <f t="shared" si="299"/>
        <v>46301</v>
      </c>
      <c r="CM26" s="52">
        <f t="shared" si="299"/>
        <v>46302</v>
      </c>
      <c r="CN26" s="52">
        <f t="shared" si="299"/>
        <v>46303</v>
      </c>
      <c r="CO26" s="53">
        <f t="shared" si="299"/>
        <v>46304</v>
      </c>
      <c r="CP26" s="51">
        <f t="shared" si="61"/>
        <v>46307</v>
      </c>
      <c r="CQ26" s="52">
        <f t="shared" si="300"/>
        <v>46308</v>
      </c>
      <c r="CR26" s="52">
        <f t="shared" si="300"/>
        <v>46309</v>
      </c>
      <c r="CS26" s="52">
        <f t="shared" si="300"/>
        <v>46310</v>
      </c>
      <c r="CT26" s="53">
        <f t="shared" si="300"/>
        <v>46311</v>
      </c>
      <c r="CU26" s="51">
        <f t="shared" si="35"/>
        <v>46314</v>
      </c>
      <c r="CV26" s="52">
        <f t="shared" si="301"/>
        <v>46315</v>
      </c>
      <c r="CW26" s="52">
        <f t="shared" si="301"/>
        <v>46316</v>
      </c>
      <c r="CX26" s="52">
        <f t="shared" si="301"/>
        <v>46317</v>
      </c>
      <c r="CY26" s="53">
        <f t="shared" si="301"/>
        <v>46318</v>
      </c>
      <c r="CZ26" s="51">
        <f t="shared" si="37"/>
        <v>46321</v>
      </c>
      <c r="DA26" s="52">
        <f t="shared" si="302"/>
        <v>46322</v>
      </c>
      <c r="DB26" s="52">
        <f t="shared" si="302"/>
        <v>46323</v>
      </c>
      <c r="DC26" s="52">
        <f t="shared" si="302"/>
        <v>46324</v>
      </c>
      <c r="DD26" s="53">
        <f t="shared" si="302"/>
        <v>46325</v>
      </c>
      <c r="DE26" s="51">
        <f t="shared" si="39"/>
        <v>46328</v>
      </c>
      <c r="DF26" s="52">
        <f t="shared" si="303"/>
        <v>46329</v>
      </c>
      <c r="DG26" s="52">
        <f t="shared" si="303"/>
        <v>46330</v>
      </c>
      <c r="DH26" s="52">
        <f t="shared" si="303"/>
        <v>46331</v>
      </c>
      <c r="DI26" s="53">
        <f t="shared" si="303"/>
        <v>46332</v>
      </c>
      <c r="DJ26" s="51">
        <f t="shared" si="41"/>
        <v>46335</v>
      </c>
      <c r="DK26" s="52">
        <f t="shared" si="304"/>
        <v>46336</v>
      </c>
      <c r="DL26" s="52">
        <f t="shared" si="304"/>
        <v>46337</v>
      </c>
      <c r="DM26" s="52">
        <f t="shared" si="304"/>
        <v>46338</v>
      </c>
      <c r="DN26" s="53">
        <f t="shared" si="304"/>
        <v>46339</v>
      </c>
      <c r="DO26" s="51">
        <f t="shared" si="43"/>
        <v>46342</v>
      </c>
      <c r="DP26" s="52">
        <f t="shared" si="305"/>
        <v>46343</v>
      </c>
      <c r="DQ26" s="52">
        <f t="shared" si="305"/>
        <v>46344</v>
      </c>
      <c r="DR26" s="52">
        <f t="shared" si="305"/>
        <v>46345</v>
      </c>
      <c r="DS26" s="53">
        <f t="shared" si="305"/>
        <v>46346</v>
      </c>
      <c r="DT26" s="51">
        <f t="shared" si="45"/>
        <v>46349</v>
      </c>
      <c r="DU26" s="52">
        <f t="shared" si="306"/>
        <v>46350</v>
      </c>
      <c r="DV26" s="52">
        <f t="shared" si="306"/>
        <v>46351</v>
      </c>
      <c r="DW26" s="52">
        <f t="shared" si="306"/>
        <v>46352</v>
      </c>
      <c r="DX26" s="53">
        <f t="shared" si="306"/>
        <v>46353</v>
      </c>
      <c r="DY26" s="51">
        <f t="shared" si="47"/>
        <v>46356</v>
      </c>
      <c r="DZ26" s="52">
        <f t="shared" si="307"/>
        <v>46357</v>
      </c>
      <c r="EA26" s="52">
        <f t="shared" si="307"/>
        <v>46358</v>
      </c>
      <c r="EB26" s="52">
        <f t="shared" si="307"/>
        <v>46359</v>
      </c>
      <c r="EC26" s="53">
        <f t="shared" si="307"/>
        <v>46360</v>
      </c>
      <c r="ED26" s="51">
        <f t="shared" si="49"/>
        <v>46363</v>
      </c>
      <c r="EE26" s="52">
        <f t="shared" si="308"/>
        <v>46364</v>
      </c>
      <c r="EF26" s="52">
        <f t="shared" si="308"/>
        <v>46365</v>
      </c>
      <c r="EG26" s="52">
        <f t="shared" si="308"/>
        <v>46366</v>
      </c>
      <c r="EH26" s="53">
        <f t="shared" si="308"/>
        <v>46367</v>
      </c>
      <c r="EI26" s="51">
        <f t="shared" si="51"/>
        <v>46370</v>
      </c>
      <c r="EJ26" s="52">
        <f t="shared" si="309"/>
        <v>46371</v>
      </c>
      <c r="EK26" s="52">
        <f t="shared" si="309"/>
        <v>46372</v>
      </c>
      <c r="EL26" s="52">
        <f t="shared" si="309"/>
        <v>46373</v>
      </c>
      <c r="EM26" s="53">
        <f t="shared" si="309"/>
        <v>46374</v>
      </c>
      <c r="EN26" s="51">
        <f t="shared" si="53"/>
        <v>46377</v>
      </c>
      <c r="EO26" s="52">
        <f t="shared" si="310"/>
        <v>46378</v>
      </c>
      <c r="EP26" s="52">
        <f t="shared" si="310"/>
        <v>46379</v>
      </c>
      <c r="EQ26" s="52">
        <f t="shared" si="310"/>
        <v>46380</v>
      </c>
      <c r="ER26" s="53">
        <f t="shared" si="310"/>
        <v>46381</v>
      </c>
      <c r="ES26" s="51">
        <f t="shared" si="55"/>
        <v>46384</v>
      </c>
      <c r="ET26" s="52">
        <f t="shared" si="311"/>
        <v>46385</v>
      </c>
      <c r="EU26" s="52">
        <f t="shared" si="311"/>
        <v>46386</v>
      </c>
      <c r="EV26" s="52">
        <f t="shared" si="311"/>
        <v>46387</v>
      </c>
      <c r="EW26" s="53">
        <f t="shared" si="311"/>
        <v>46388</v>
      </c>
      <c r="EX26" s="51">
        <f t="shared" si="57"/>
        <v>46391</v>
      </c>
      <c r="EY26" s="52">
        <f t="shared" si="58"/>
        <v>46392</v>
      </c>
      <c r="EZ26" s="52">
        <f t="shared" si="29"/>
        <v>46393</v>
      </c>
      <c r="FA26" s="52">
        <f t="shared" si="29"/>
        <v>46394</v>
      </c>
      <c r="FB26" s="53">
        <f t="shared" si="29"/>
        <v>46395</v>
      </c>
    </row>
    <row r="27" spans="1:158" ht="18" customHeight="1" outlineLevel="2">
      <c r="A27" s="26"/>
      <c r="B27" s="34"/>
      <c r="C27" s="34"/>
      <c r="D27" s="41" t="s">
        <v>137</v>
      </c>
      <c r="E27" s="42"/>
      <c r="F27" s="43"/>
      <c r="G27" s="60"/>
      <c r="H27" s="71" t="s">
        <v>18</v>
      </c>
      <c r="I27" s="71" t="s">
        <v>18</v>
      </c>
      <c r="J27" s="72" t="s">
        <v>18</v>
      </c>
      <c r="K27" s="73"/>
      <c r="L27" s="74"/>
      <c r="M27" s="46">
        <v>46223</v>
      </c>
      <c r="N27" s="44">
        <v>46234</v>
      </c>
      <c r="O27" s="14">
        <f>(3/132/6+5/132/6)*2</f>
        <v>2.02020202020202E-2</v>
      </c>
      <c r="P27" s="14"/>
      <c r="Q27" s="15"/>
      <c r="R27" s="14"/>
      <c r="S27" s="51">
        <f t="shared" si="30"/>
        <v>46202</v>
      </c>
      <c r="T27" s="52">
        <f t="shared" ref="T27" si="312">S27+1</f>
        <v>46203</v>
      </c>
      <c r="U27" s="52">
        <f t="shared" ref="U27" si="313">T27+1</f>
        <v>46204</v>
      </c>
      <c r="V27" s="52">
        <f t="shared" ref="V27" si="314">U27+1</f>
        <v>46205</v>
      </c>
      <c r="W27" s="53">
        <f t="shared" ref="W27" si="315">V27+1</f>
        <v>46206</v>
      </c>
      <c r="X27" s="51">
        <v>46209</v>
      </c>
      <c r="Y27" s="52">
        <v>46210</v>
      </c>
      <c r="Z27" s="52">
        <v>46211</v>
      </c>
      <c r="AA27" s="52">
        <v>46212</v>
      </c>
      <c r="AB27" s="53">
        <v>46213</v>
      </c>
      <c r="AC27" s="51">
        <v>46216</v>
      </c>
      <c r="AD27" s="52">
        <v>46217</v>
      </c>
      <c r="AE27" s="52">
        <v>46218</v>
      </c>
      <c r="AF27" s="52">
        <v>46219</v>
      </c>
      <c r="AG27" s="53">
        <v>46220</v>
      </c>
      <c r="AH27" s="51">
        <v>46223</v>
      </c>
      <c r="AI27" s="52">
        <v>46224</v>
      </c>
      <c r="AJ27" s="52">
        <v>46225</v>
      </c>
      <c r="AK27" s="52">
        <v>46226</v>
      </c>
      <c r="AL27" s="53">
        <v>46227</v>
      </c>
      <c r="AM27" s="51">
        <v>46230</v>
      </c>
      <c r="AN27" s="52">
        <v>46231</v>
      </c>
      <c r="AO27" s="52">
        <v>46232</v>
      </c>
      <c r="AP27" s="52">
        <v>46233</v>
      </c>
      <c r="AQ27" s="53">
        <v>46234</v>
      </c>
      <c r="AR27" s="51">
        <v>46237</v>
      </c>
      <c r="AS27" s="52">
        <v>46238</v>
      </c>
      <c r="AT27" s="52">
        <v>46239</v>
      </c>
      <c r="AU27" s="52">
        <v>46240</v>
      </c>
      <c r="AV27" s="53">
        <v>46241</v>
      </c>
      <c r="AW27" s="51">
        <v>46244</v>
      </c>
      <c r="AX27" s="52">
        <v>46245</v>
      </c>
      <c r="AY27" s="52">
        <v>46246</v>
      </c>
      <c r="AZ27" s="52">
        <v>46247</v>
      </c>
      <c r="BA27" s="53">
        <v>46248</v>
      </c>
      <c r="BB27" s="51">
        <v>46251</v>
      </c>
      <c r="BC27" s="52">
        <v>46252</v>
      </c>
      <c r="BD27" s="52">
        <v>46253</v>
      </c>
      <c r="BE27" s="52">
        <v>46254</v>
      </c>
      <c r="BF27" s="53">
        <v>46255</v>
      </c>
      <c r="BG27" s="51">
        <v>46258</v>
      </c>
      <c r="BH27" s="52">
        <v>46259</v>
      </c>
      <c r="BI27" s="52">
        <v>46260</v>
      </c>
      <c r="BJ27" s="52">
        <v>46261</v>
      </c>
      <c r="BK27" s="53">
        <v>46262</v>
      </c>
      <c r="BL27" s="51">
        <v>46265</v>
      </c>
      <c r="BM27" s="52">
        <v>46266</v>
      </c>
      <c r="BN27" s="52">
        <v>46267</v>
      </c>
      <c r="BO27" s="52">
        <v>46268</v>
      </c>
      <c r="BP27" s="53">
        <v>46269</v>
      </c>
      <c r="BQ27" s="51">
        <v>46272</v>
      </c>
      <c r="BR27" s="52">
        <v>46273</v>
      </c>
      <c r="BS27" s="52">
        <v>46274</v>
      </c>
      <c r="BT27" s="52">
        <v>46275</v>
      </c>
      <c r="BU27" s="53">
        <v>46276</v>
      </c>
      <c r="BV27" s="51">
        <v>46279</v>
      </c>
      <c r="BW27" s="52">
        <v>46280</v>
      </c>
      <c r="BX27" s="52">
        <v>46281</v>
      </c>
      <c r="BY27" s="52">
        <v>46282</v>
      </c>
      <c r="BZ27" s="53">
        <v>46283</v>
      </c>
      <c r="CA27" s="51">
        <v>46286</v>
      </c>
      <c r="CB27" s="52">
        <v>46287</v>
      </c>
      <c r="CC27" s="52">
        <v>46288</v>
      </c>
      <c r="CD27" s="52">
        <v>46289</v>
      </c>
      <c r="CE27" s="53">
        <v>46290</v>
      </c>
      <c r="CF27" s="51">
        <v>46293</v>
      </c>
      <c r="CG27" s="52">
        <v>46294</v>
      </c>
      <c r="CH27" s="52">
        <v>46295</v>
      </c>
      <c r="CI27" s="52">
        <v>46296</v>
      </c>
      <c r="CJ27" s="53">
        <v>46297</v>
      </c>
      <c r="CK27" s="51">
        <f t="shared" si="32"/>
        <v>46300</v>
      </c>
      <c r="CL27" s="52">
        <f t="shared" ref="CL27" si="316">CK27+1</f>
        <v>46301</v>
      </c>
      <c r="CM27" s="52">
        <f t="shared" ref="CM27" si="317">CL27+1</f>
        <v>46302</v>
      </c>
      <c r="CN27" s="52">
        <f t="shared" ref="CN27" si="318">CM27+1</f>
        <v>46303</v>
      </c>
      <c r="CO27" s="53">
        <f t="shared" ref="CO27" si="319">CN27+1</f>
        <v>46304</v>
      </c>
      <c r="CP27" s="51">
        <f t="shared" si="61"/>
        <v>46307</v>
      </c>
      <c r="CQ27" s="52">
        <f t="shared" ref="CQ27" si="320">CP27+1</f>
        <v>46308</v>
      </c>
      <c r="CR27" s="52">
        <f t="shared" ref="CR27" si="321">CQ27+1</f>
        <v>46309</v>
      </c>
      <c r="CS27" s="52">
        <f t="shared" ref="CS27" si="322">CR27+1</f>
        <v>46310</v>
      </c>
      <c r="CT27" s="53">
        <f t="shared" ref="CT27" si="323">CS27+1</f>
        <v>46311</v>
      </c>
      <c r="CU27" s="51">
        <f t="shared" si="35"/>
        <v>46314</v>
      </c>
      <c r="CV27" s="52">
        <f t="shared" ref="CV27" si="324">CU27+1</f>
        <v>46315</v>
      </c>
      <c r="CW27" s="52">
        <f t="shared" ref="CW27" si="325">CV27+1</f>
        <v>46316</v>
      </c>
      <c r="CX27" s="52">
        <f t="shared" ref="CX27" si="326">CW27+1</f>
        <v>46317</v>
      </c>
      <c r="CY27" s="53">
        <f t="shared" ref="CY27" si="327">CX27+1</f>
        <v>46318</v>
      </c>
      <c r="CZ27" s="51">
        <f t="shared" si="37"/>
        <v>46321</v>
      </c>
      <c r="DA27" s="52">
        <f t="shared" ref="DA27" si="328">CZ27+1</f>
        <v>46322</v>
      </c>
      <c r="DB27" s="52">
        <f t="shared" ref="DB27" si="329">DA27+1</f>
        <v>46323</v>
      </c>
      <c r="DC27" s="52">
        <f t="shared" ref="DC27" si="330">DB27+1</f>
        <v>46324</v>
      </c>
      <c r="DD27" s="53">
        <f t="shared" ref="DD27" si="331">DC27+1</f>
        <v>46325</v>
      </c>
      <c r="DE27" s="51">
        <f t="shared" si="39"/>
        <v>46328</v>
      </c>
      <c r="DF27" s="52">
        <f t="shared" ref="DF27" si="332">DE27+1</f>
        <v>46329</v>
      </c>
      <c r="DG27" s="52">
        <f t="shared" ref="DG27" si="333">DF27+1</f>
        <v>46330</v>
      </c>
      <c r="DH27" s="52">
        <f t="shared" ref="DH27" si="334">DG27+1</f>
        <v>46331</v>
      </c>
      <c r="DI27" s="53">
        <f t="shared" ref="DI27" si="335">DH27+1</f>
        <v>46332</v>
      </c>
      <c r="DJ27" s="51">
        <f t="shared" si="41"/>
        <v>46335</v>
      </c>
      <c r="DK27" s="52">
        <f t="shared" ref="DK27" si="336">DJ27+1</f>
        <v>46336</v>
      </c>
      <c r="DL27" s="52">
        <f t="shared" ref="DL27" si="337">DK27+1</f>
        <v>46337</v>
      </c>
      <c r="DM27" s="52">
        <f t="shared" ref="DM27" si="338">DL27+1</f>
        <v>46338</v>
      </c>
      <c r="DN27" s="53">
        <f t="shared" ref="DN27" si="339">DM27+1</f>
        <v>46339</v>
      </c>
      <c r="DO27" s="51">
        <f t="shared" si="43"/>
        <v>46342</v>
      </c>
      <c r="DP27" s="52">
        <f t="shared" ref="DP27" si="340">DO27+1</f>
        <v>46343</v>
      </c>
      <c r="DQ27" s="52">
        <f t="shared" ref="DQ27" si="341">DP27+1</f>
        <v>46344</v>
      </c>
      <c r="DR27" s="52">
        <f t="shared" ref="DR27" si="342">DQ27+1</f>
        <v>46345</v>
      </c>
      <c r="DS27" s="53">
        <f t="shared" ref="DS27" si="343">DR27+1</f>
        <v>46346</v>
      </c>
      <c r="DT27" s="51">
        <f t="shared" si="45"/>
        <v>46349</v>
      </c>
      <c r="DU27" s="52">
        <f t="shared" ref="DU27" si="344">DT27+1</f>
        <v>46350</v>
      </c>
      <c r="DV27" s="52">
        <f t="shared" ref="DV27" si="345">DU27+1</f>
        <v>46351</v>
      </c>
      <c r="DW27" s="52">
        <f t="shared" ref="DW27" si="346">DV27+1</f>
        <v>46352</v>
      </c>
      <c r="DX27" s="53">
        <f t="shared" ref="DX27" si="347">DW27+1</f>
        <v>46353</v>
      </c>
      <c r="DY27" s="51">
        <f t="shared" si="47"/>
        <v>46356</v>
      </c>
      <c r="DZ27" s="52">
        <f t="shared" ref="DZ27" si="348">DY27+1</f>
        <v>46357</v>
      </c>
      <c r="EA27" s="52">
        <f t="shared" ref="EA27" si="349">DZ27+1</f>
        <v>46358</v>
      </c>
      <c r="EB27" s="52">
        <f t="shared" ref="EB27" si="350">EA27+1</f>
        <v>46359</v>
      </c>
      <c r="EC27" s="53">
        <f t="shared" ref="EC27" si="351">EB27+1</f>
        <v>46360</v>
      </c>
      <c r="ED27" s="51">
        <f t="shared" si="49"/>
        <v>46363</v>
      </c>
      <c r="EE27" s="52">
        <f t="shared" ref="EE27" si="352">ED27+1</f>
        <v>46364</v>
      </c>
      <c r="EF27" s="52">
        <f t="shared" ref="EF27" si="353">EE27+1</f>
        <v>46365</v>
      </c>
      <c r="EG27" s="52">
        <f t="shared" ref="EG27" si="354">EF27+1</f>
        <v>46366</v>
      </c>
      <c r="EH27" s="53">
        <f t="shared" ref="EH27" si="355">EG27+1</f>
        <v>46367</v>
      </c>
      <c r="EI27" s="51">
        <f t="shared" si="51"/>
        <v>46370</v>
      </c>
      <c r="EJ27" s="52">
        <f t="shared" ref="EJ27" si="356">EI27+1</f>
        <v>46371</v>
      </c>
      <c r="EK27" s="52">
        <f t="shared" ref="EK27" si="357">EJ27+1</f>
        <v>46372</v>
      </c>
      <c r="EL27" s="52">
        <f t="shared" ref="EL27" si="358">EK27+1</f>
        <v>46373</v>
      </c>
      <c r="EM27" s="53">
        <f t="shared" ref="EM27" si="359">EL27+1</f>
        <v>46374</v>
      </c>
      <c r="EN27" s="51">
        <f t="shared" si="53"/>
        <v>46377</v>
      </c>
      <c r="EO27" s="52">
        <f t="shared" ref="EO27" si="360">EN27+1</f>
        <v>46378</v>
      </c>
      <c r="EP27" s="52">
        <f t="shared" ref="EP27" si="361">EO27+1</f>
        <v>46379</v>
      </c>
      <c r="EQ27" s="52">
        <f t="shared" ref="EQ27" si="362">EP27+1</f>
        <v>46380</v>
      </c>
      <c r="ER27" s="53">
        <f t="shared" ref="ER27" si="363">EQ27+1</f>
        <v>46381</v>
      </c>
      <c r="ES27" s="51">
        <f t="shared" si="55"/>
        <v>46384</v>
      </c>
      <c r="ET27" s="52">
        <f t="shared" ref="ET27" si="364">ES27+1</f>
        <v>46385</v>
      </c>
      <c r="EU27" s="52">
        <f t="shared" ref="EU27" si="365">ET27+1</f>
        <v>46386</v>
      </c>
      <c r="EV27" s="52">
        <f t="shared" ref="EV27" si="366">EU27+1</f>
        <v>46387</v>
      </c>
      <c r="EW27" s="53">
        <f t="shared" ref="EW27" si="367">EV27+1</f>
        <v>46388</v>
      </c>
      <c r="EX27" s="51">
        <f t="shared" si="57"/>
        <v>46391</v>
      </c>
      <c r="EY27" s="52">
        <f t="shared" ref="EY27:FB28" si="368">EX25+1</f>
        <v>46392</v>
      </c>
      <c r="EZ27" s="52">
        <f t="shared" si="368"/>
        <v>46393</v>
      </c>
      <c r="FA27" s="52">
        <f t="shared" si="368"/>
        <v>46394</v>
      </c>
      <c r="FB27" s="53">
        <f t="shared" si="368"/>
        <v>46395</v>
      </c>
    </row>
    <row r="28" spans="1:158" ht="18" customHeight="1" outlineLevel="2">
      <c r="A28" s="26"/>
      <c r="B28" s="34"/>
      <c r="C28" s="34"/>
      <c r="D28" s="41" t="s">
        <v>140</v>
      </c>
      <c r="E28" s="42"/>
      <c r="F28" s="43"/>
      <c r="G28" s="60"/>
      <c r="H28" s="71" t="s">
        <v>18</v>
      </c>
      <c r="I28" s="71"/>
      <c r="J28" s="72"/>
      <c r="K28" s="73"/>
      <c r="L28" s="74"/>
      <c r="M28" s="110">
        <v>46237</v>
      </c>
      <c r="N28" s="111">
        <v>46318</v>
      </c>
      <c r="O28" s="14">
        <f>(3/132/6+5/132/6)*2.75</f>
        <v>2.7777777777777776E-2</v>
      </c>
      <c r="P28" s="14"/>
      <c r="Q28" s="15"/>
      <c r="R28" s="14"/>
      <c r="S28" s="51">
        <f t="shared" si="30"/>
        <v>46202</v>
      </c>
      <c r="T28" s="52">
        <f t="shared" si="298"/>
        <v>46203</v>
      </c>
      <c r="U28" s="52">
        <f t="shared" si="298"/>
        <v>46204</v>
      </c>
      <c r="V28" s="52">
        <f t="shared" si="298"/>
        <v>46205</v>
      </c>
      <c r="W28" s="53">
        <f t="shared" si="298"/>
        <v>46206</v>
      </c>
      <c r="X28" s="51">
        <v>46209</v>
      </c>
      <c r="Y28" s="52">
        <v>46210</v>
      </c>
      <c r="Z28" s="52">
        <v>46211</v>
      </c>
      <c r="AA28" s="52">
        <v>46212</v>
      </c>
      <c r="AB28" s="53">
        <v>46213</v>
      </c>
      <c r="AC28" s="51">
        <v>46216</v>
      </c>
      <c r="AD28" s="52">
        <v>46217</v>
      </c>
      <c r="AE28" s="52">
        <v>46218</v>
      </c>
      <c r="AF28" s="52">
        <v>46219</v>
      </c>
      <c r="AG28" s="53">
        <v>46220</v>
      </c>
      <c r="AH28" s="51">
        <v>46223</v>
      </c>
      <c r="AI28" s="52">
        <v>46224</v>
      </c>
      <c r="AJ28" s="52">
        <v>46225</v>
      </c>
      <c r="AK28" s="52">
        <v>46226</v>
      </c>
      <c r="AL28" s="53">
        <v>46227</v>
      </c>
      <c r="AM28" s="51">
        <v>46230</v>
      </c>
      <c r="AN28" s="52">
        <v>46231</v>
      </c>
      <c r="AO28" s="52">
        <v>46232</v>
      </c>
      <c r="AP28" s="52">
        <v>46233</v>
      </c>
      <c r="AQ28" s="53">
        <v>46234</v>
      </c>
      <c r="AR28" s="51">
        <v>46237</v>
      </c>
      <c r="AS28" s="52">
        <v>46238</v>
      </c>
      <c r="AT28" s="52">
        <v>46239</v>
      </c>
      <c r="AU28" s="52">
        <v>46240</v>
      </c>
      <c r="AV28" s="53">
        <v>46241</v>
      </c>
      <c r="AW28" s="51">
        <v>46244</v>
      </c>
      <c r="AX28" s="52">
        <v>46245</v>
      </c>
      <c r="AY28" s="52">
        <v>46246</v>
      </c>
      <c r="AZ28" s="52">
        <v>46247</v>
      </c>
      <c r="BA28" s="53">
        <v>46248</v>
      </c>
      <c r="BB28" s="51">
        <v>46251</v>
      </c>
      <c r="BC28" s="52">
        <v>46252</v>
      </c>
      <c r="BD28" s="52">
        <v>46253</v>
      </c>
      <c r="BE28" s="52">
        <v>46254</v>
      </c>
      <c r="BF28" s="53">
        <v>46255</v>
      </c>
      <c r="BG28" s="51">
        <v>46258</v>
      </c>
      <c r="BH28" s="52">
        <v>46259</v>
      </c>
      <c r="BI28" s="52">
        <v>46260</v>
      </c>
      <c r="BJ28" s="52">
        <v>46261</v>
      </c>
      <c r="BK28" s="53">
        <v>46262</v>
      </c>
      <c r="BL28" s="51">
        <v>46265</v>
      </c>
      <c r="BM28" s="52">
        <v>46266</v>
      </c>
      <c r="BN28" s="52">
        <v>46267</v>
      </c>
      <c r="BO28" s="52">
        <v>46268</v>
      </c>
      <c r="BP28" s="53">
        <v>46269</v>
      </c>
      <c r="BQ28" s="51">
        <v>46272</v>
      </c>
      <c r="BR28" s="52">
        <v>46273</v>
      </c>
      <c r="BS28" s="52">
        <v>46274</v>
      </c>
      <c r="BT28" s="52">
        <v>46275</v>
      </c>
      <c r="BU28" s="53">
        <v>46276</v>
      </c>
      <c r="BV28" s="51">
        <v>46279</v>
      </c>
      <c r="BW28" s="52">
        <v>46280</v>
      </c>
      <c r="BX28" s="52">
        <v>46281</v>
      </c>
      <c r="BY28" s="52">
        <v>46282</v>
      </c>
      <c r="BZ28" s="53">
        <v>46283</v>
      </c>
      <c r="CA28" s="51">
        <v>46286</v>
      </c>
      <c r="CB28" s="52">
        <v>46287</v>
      </c>
      <c r="CC28" s="52">
        <v>46288</v>
      </c>
      <c r="CD28" s="52">
        <v>46289</v>
      </c>
      <c r="CE28" s="53">
        <v>46290</v>
      </c>
      <c r="CF28" s="51">
        <v>46293</v>
      </c>
      <c r="CG28" s="52">
        <v>46294</v>
      </c>
      <c r="CH28" s="52">
        <v>46295</v>
      </c>
      <c r="CI28" s="52">
        <v>46296</v>
      </c>
      <c r="CJ28" s="53">
        <v>46297</v>
      </c>
      <c r="CK28" s="51">
        <f t="shared" si="32"/>
        <v>46300</v>
      </c>
      <c r="CL28" s="52">
        <f t="shared" si="299"/>
        <v>46301</v>
      </c>
      <c r="CM28" s="52">
        <f t="shared" si="299"/>
        <v>46302</v>
      </c>
      <c r="CN28" s="52">
        <f t="shared" si="299"/>
        <v>46303</v>
      </c>
      <c r="CO28" s="53">
        <f t="shared" si="299"/>
        <v>46304</v>
      </c>
      <c r="CP28" s="51">
        <f t="shared" si="61"/>
        <v>46307</v>
      </c>
      <c r="CQ28" s="52">
        <f t="shared" si="300"/>
        <v>46308</v>
      </c>
      <c r="CR28" s="52">
        <f t="shared" si="300"/>
        <v>46309</v>
      </c>
      <c r="CS28" s="52">
        <f t="shared" si="300"/>
        <v>46310</v>
      </c>
      <c r="CT28" s="53">
        <f t="shared" si="300"/>
        <v>46311</v>
      </c>
      <c r="CU28" s="51">
        <f t="shared" si="35"/>
        <v>46314</v>
      </c>
      <c r="CV28" s="52">
        <f t="shared" si="301"/>
        <v>46315</v>
      </c>
      <c r="CW28" s="52">
        <f t="shared" si="301"/>
        <v>46316</v>
      </c>
      <c r="CX28" s="52">
        <f t="shared" si="301"/>
        <v>46317</v>
      </c>
      <c r="CY28" s="53">
        <f t="shared" si="301"/>
        <v>46318</v>
      </c>
      <c r="CZ28" s="51">
        <f t="shared" si="37"/>
        <v>46321</v>
      </c>
      <c r="DA28" s="52">
        <f t="shared" si="302"/>
        <v>46322</v>
      </c>
      <c r="DB28" s="52">
        <f t="shared" si="302"/>
        <v>46323</v>
      </c>
      <c r="DC28" s="52">
        <f t="shared" si="302"/>
        <v>46324</v>
      </c>
      <c r="DD28" s="53">
        <f t="shared" si="302"/>
        <v>46325</v>
      </c>
      <c r="DE28" s="51">
        <f t="shared" si="39"/>
        <v>46328</v>
      </c>
      <c r="DF28" s="52">
        <f t="shared" si="303"/>
        <v>46329</v>
      </c>
      <c r="DG28" s="52">
        <f t="shared" si="303"/>
        <v>46330</v>
      </c>
      <c r="DH28" s="52">
        <f t="shared" si="303"/>
        <v>46331</v>
      </c>
      <c r="DI28" s="53">
        <f t="shared" si="303"/>
        <v>46332</v>
      </c>
      <c r="DJ28" s="51">
        <f t="shared" si="41"/>
        <v>46335</v>
      </c>
      <c r="DK28" s="52">
        <f t="shared" si="304"/>
        <v>46336</v>
      </c>
      <c r="DL28" s="52">
        <f t="shared" si="304"/>
        <v>46337</v>
      </c>
      <c r="DM28" s="52">
        <f t="shared" si="304"/>
        <v>46338</v>
      </c>
      <c r="DN28" s="53">
        <f t="shared" si="304"/>
        <v>46339</v>
      </c>
      <c r="DO28" s="51">
        <f t="shared" si="43"/>
        <v>46342</v>
      </c>
      <c r="DP28" s="52">
        <f t="shared" si="305"/>
        <v>46343</v>
      </c>
      <c r="DQ28" s="52">
        <f t="shared" si="305"/>
        <v>46344</v>
      </c>
      <c r="DR28" s="52">
        <f t="shared" si="305"/>
        <v>46345</v>
      </c>
      <c r="DS28" s="53">
        <f t="shared" si="305"/>
        <v>46346</v>
      </c>
      <c r="DT28" s="51">
        <f t="shared" si="45"/>
        <v>46349</v>
      </c>
      <c r="DU28" s="52">
        <f t="shared" si="306"/>
        <v>46350</v>
      </c>
      <c r="DV28" s="52">
        <f t="shared" si="306"/>
        <v>46351</v>
      </c>
      <c r="DW28" s="52">
        <f t="shared" si="306"/>
        <v>46352</v>
      </c>
      <c r="DX28" s="53">
        <f t="shared" si="306"/>
        <v>46353</v>
      </c>
      <c r="DY28" s="51">
        <f t="shared" si="47"/>
        <v>46356</v>
      </c>
      <c r="DZ28" s="52">
        <f t="shared" si="307"/>
        <v>46357</v>
      </c>
      <c r="EA28" s="52">
        <f t="shared" si="307"/>
        <v>46358</v>
      </c>
      <c r="EB28" s="52">
        <f t="shared" si="307"/>
        <v>46359</v>
      </c>
      <c r="EC28" s="53">
        <f t="shared" si="307"/>
        <v>46360</v>
      </c>
      <c r="ED28" s="51">
        <f t="shared" si="49"/>
        <v>46363</v>
      </c>
      <c r="EE28" s="52">
        <f t="shared" si="308"/>
        <v>46364</v>
      </c>
      <c r="EF28" s="52">
        <f t="shared" si="308"/>
        <v>46365</v>
      </c>
      <c r="EG28" s="52">
        <f t="shared" si="308"/>
        <v>46366</v>
      </c>
      <c r="EH28" s="53">
        <f t="shared" si="308"/>
        <v>46367</v>
      </c>
      <c r="EI28" s="51">
        <f t="shared" si="51"/>
        <v>46370</v>
      </c>
      <c r="EJ28" s="52">
        <f t="shared" si="309"/>
        <v>46371</v>
      </c>
      <c r="EK28" s="52">
        <f t="shared" si="309"/>
        <v>46372</v>
      </c>
      <c r="EL28" s="52">
        <f t="shared" si="309"/>
        <v>46373</v>
      </c>
      <c r="EM28" s="53">
        <f t="shared" si="309"/>
        <v>46374</v>
      </c>
      <c r="EN28" s="51">
        <f t="shared" si="53"/>
        <v>46377</v>
      </c>
      <c r="EO28" s="52">
        <f t="shared" si="310"/>
        <v>46378</v>
      </c>
      <c r="EP28" s="52">
        <f t="shared" si="310"/>
        <v>46379</v>
      </c>
      <c r="EQ28" s="52">
        <f t="shared" si="310"/>
        <v>46380</v>
      </c>
      <c r="ER28" s="53">
        <f t="shared" si="310"/>
        <v>46381</v>
      </c>
      <c r="ES28" s="51">
        <f t="shared" si="55"/>
        <v>46384</v>
      </c>
      <c r="ET28" s="52">
        <f t="shared" si="311"/>
        <v>46385</v>
      </c>
      <c r="EU28" s="52">
        <f t="shared" si="311"/>
        <v>46386</v>
      </c>
      <c r="EV28" s="52">
        <f t="shared" si="311"/>
        <v>46387</v>
      </c>
      <c r="EW28" s="53">
        <f t="shared" si="311"/>
        <v>46388</v>
      </c>
      <c r="EX28" s="51">
        <f t="shared" si="57"/>
        <v>46391</v>
      </c>
      <c r="EY28" s="52">
        <f t="shared" si="368"/>
        <v>46392</v>
      </c>
      <c r="EZ28" s="52">
        <f t="shared" si="368"/>
        <v>46393</v>
      </c>
      <c r="FA28" s="52">
        <f t="shared" si="368"/>
        <v>46394</v>
      </c>
      <c r="FB28" s="53">
        <f t="shared" si="368"/>
        <v>46395</v>
      </c>
    </row>
    <row r="29" spans="1:158" ht="18" customHeight="1" outlineLevel="1">
      <c r="A29" s="26"/>
      <c r="B29" s="34"/>
      <c r="C29" s="57" t="s">
        <v>94</v>
      </c>
      <c r="D29" s="36"/>
      <c r="E29" s="37"/>
      <c r="F29" s="38"/>
      <c r="G29" s="59" t="s">
        <v>126</v>
      </c>
      <c r="H29" s="67"/>
      <c r="I29" s="67"/>
      <c r="J29" s="68"/>
      <c r="K29" s="69"/>
      <c r="L29" s="70" t="s">
        <v>115</v>
      </c>
      <c r="M29" s="39">
        <v>46282</v>
      </c>
      <c r="N29" s="45">
        <v>46282</v>
      </c>
      <c r="O29" s="13">
        <f>5/132/2</f>
        <v>1.893939393939394E-2</v>
      </c>
      <c r="P29" s="13"/>
      <c r="Q29" s="13"/>
      <c r="R29" s="13"/>
      <c r="S29" s="51">
        <f t="shared" si="30"/>
        <v>46202</v>
      </c>
      <c r="T29" s="52">
        <f t="shared" ref="T29:W29" si="369">S29+1</f>
        <v>46203</v>
      </c>
      <c r="U29" s="52">
        <f t="shared" si="369"/>
        <v>46204</v>
      </c>
      <c r="V29" s="52">
        <f t="shared" si="369"/>
        <v>46205</v>
      </c>
      <c r="W29" s="53">
        <f t="shared" si="369"/>
        <v>46206</v>
      </c>
      <c r="X29" s="51">
        <v>46209</v>
      </c>
      <c r="Y29" s="52">
        <v>46210</v>
      </c>
      <c r="Z29" s="52">
        <v>46211</v>
      </c>
      <c r="AA29" s="52">
        <v>46212</v>
      </c>
      <c r="AB29" s="53">
        <v>46213</v>
      </c>
      <c r="AC29" s="51">
        <v>46216</v>
      </c>
      <c r="AD29" s="52">
        <v>46217</v>
      </c>
      <c r="AE29" s="52">
        <v>46218</v>
      </c>
      <c r="AF29" s="52">
        <v>46219</v>
      </c>
      <c r="AG29" s="53">
        <v>46220</v>
      </c>
      <c r="AH29" s="51">
        <v>46223</v>
      </c>
      <c r="AI29" s="52">
        <v>46224</v>
      </c>
      <c r="AJ29" s="52">
        <v>46225</v>
      </c>
      <c r="AK29" s="52">
        <v>46226</v>
      </c>
      <c r="AL29" s="53">
        <v>46227</v>
      </c>
      <c r="AM29" s="51">
        <v>46230</v>
      </c>
      <c r="AN29" s="52">
        <v>46231</v>
      </c>
      <c r="AO29" s="52">
        <v>46232</v>
      </c>
      <c r="AP29" s="52">
        <v>46233</v>
      </c>
      <c r="AQ29" s="53">
        <v>46234</v>
      </c>
      <c r="AR29" s="51">
        <v>46237</v>
      </c>
      <c r="AS29" s="52">
        <v>46238</v>
      </c>
      <c r="AT29" s="52">
        <v>46239</v>
      </c>
      <c r="AU29" s="52">
        <v>46240</v>
      </c>
      <c r="AV29" s="53">
        <v>46241</v>
      </c>
      <c r="AW29" s="51">
        <v>46244</v>
      </c>
      <c r="AX29" s="52">
        <v>46245</v>
      </c>
      <c r="AY29" s="52">
        <v>46246</v>
      </c>
      <c r="AZ29" s="52">
        <v>46247</v>
      </c>
      <c r="BA29" s="53">
        <v>46248</v>
      </c>
      <c r="BB29" s="51">
        <v>46251</v>
      </c>
      <c r="BC29" s="52">
        <v>46252</v>
      </c>
      <c r="BD29" s="52">
        <v>46253</v>
      </c>
      <c r="BE29" s="52">
        <v>46254</v>
      </c>
      <c r="BF29" s="53">
        <v>46255</v>
      </c>
      <c r="BG29" s="51">
        <v>46258</v>
      </c>
      <c r="BH29" s="52">
        <v>46259</v>
      </c>
      <c r="BI29" s="52">
        <v>46260</v>
      </c>
      <c r="BJ29" s="52">
        <v>46261</v>
      </c>
      <c r="BK29" s="53">
        <v>46262</v>
      </c>
      <c r="BL29" s="51">
        <v>46265</v>
      </c>
      <c r="BM29" s="52">
        <v>46266</v>
      </c>
      <c r="BN29" s="52">
        <v>46267</v>
      </c>
      <c r="BO29" s="52">
        <v>46268</v>
      </c>
      <c r="BP29" s="53">
        <v>46269</v>
      </c>
      <c r="BQ29" s="51">
        <v>46272</v>
      </c>
      <c r="BR29" s="52">
        <v>46273</v>
      </c>
      <c r="BS29" s="52">
        <v>46274</v>
      </c>
      <c r="BT29" s="52">
        <v>46275</v>
      </c>
      <c r="BU29" s="53">
        <v>46276</v>
      </c>
      <c r="BV29" s="51">
        <v>46279</v>
      </c>
      <c r="BW29" s="52">
        <v>46280</v>
      </c>
      <c r="BX29" s="52">
        <v>46281</v>
      </c>
      <c r="BY29" s="52">
        <v>46282</v>
      </c>
      <c r="BZ29" s="53">
        <v>46283</v>
      </c>
      <c r="CA29" s="51">
        <v>46286</v>
      </c>
      <c r="CB29" s="52">
        <v>46287</v>
      </c>
      <c r="CC29" s="52">
        <v>46288</v>
      </c>
      <c r="CD29" s="52">
        <v>46289</v>
      </c>
      <c r="CE29" s="53">
        <v>46290</v>
      </c>
      <c r="CF29" s="51">
        <v>46293</v>
      </c>
      <c r="CG29" s="52">
        <v>46294</v>
      </c>
      <c r="CH29" s="52">
        <v>46295</v>
      </c>
      <c r="CI29" s="52">
        <v>46296</v>
      </c>
      <c r="CJ29" s="53">
        <v>46297</v>
      </c>
      <c r="CK29" s="51">
        <f t="shared" si="32"/>
        <v>46300</v>
      </c>
      <c r="CL29" s="52">
        <f t="shared" ref="CL29:CO29" si="370">CK29+1</f>
        <v>46301</v>
      </c>
      <c r="CM29" s="52">
        <f t="shared" si="370"/>
        <v>46302</v>
      </c>
      <c r="CN29" s="52">
        <f t="shared" si="370"/>
        <v>46303</v>
      </c>
      <c r="CO29" s="53">
        <f t="shared" si="370"/>
        <v>46304</v>
      </c>
      <c r="CP29" s="51">
        <f t="shared" si="61"/>
        <v>46307</v>
      </c>
      <c r="CQ29" s="52">
        <f t="shared" ref="CQ29:CT29" si="371">CP29+1</f>
        <v>46308</v>
      </c>
      <c r="CR29" s="52">
        <f t="shared" si="371"/>
        <v>46309</v>
      </c>
      <c r="CS29" s="52">
        <f t="shared" si="371"/>
        <v>46310</v>
      </c>
      <c r="CT29" s="53">
        <f t="shared" si="371"/>
        <v>46311</v>
      </c>
      <c r="CU29" s="51">
        <f t="shared" si="35"/>
        <v>46314</v>
      </c>
      <c r="CV29" s="52">
        <f t="shared" ref="CV29:CY29" si="372">CU29+1</f>
        <v>46315</v>
      </c>
      <c r="CW29" s="52">
        <f t="shared" si="372"/>
        <v>46316</v>
      </c>
      <c r="CX29" s="52">
        <f t="shared" si="372"/>
        <v>46317</v>
      </c>
      <c r="CY29" s="53">
        <f t="shared" si="372"/>
        <v>46318</v>
      </c>
      <c r="CZ29" s="51">
        <f t="shared" si="37"/>
        <v>46321</v>
      </c>
      <c r="DA29" s="52">
        <f t="shared" ref="DA29:DD29" si="373">CZ29+1</f>
        <v>46322</v>
      </c>
      <c r="DB29" s="52">
        <f t="shared" si="373"/>
        <v>46323</v>
      </c>
      <c r="DC29" s="52">
        <f t="shared" si="373"/>
        <v>46324</v>
      </c>
      <c r="DD29" s="53">
        <f t="shared" si="373"/>
        <v>46325</v>
      </c>
      <c r="DE29" s="51">
        <f t="shared" si="39"/>
        <v>46328</v>
      </c>
      <c r="DF29" s="52">
        <f t="shared" ref="DF29:DI29" si="374">DE29+1</f>
        <v>46329</v>
      </c>
      <c r="DG29" s="52">
        <f t="shared" si="374"/>
        <v>46330</v>
      </c>
      <c r="DH29" s="52">
        <f t="shared" si="374"/>
        <v>46331</v>
      </c>
      <c r="DI29" s="53">
        <f t="shared" si="374"/>
        <v>46332</v>
      </c>
      <c r="DJ29" s="51">
        <f t="shared" si="41"/>
        <v>46335</v>
      </c>
      <c r="DK29" s="52">
        <f t="shared" ref="DK29:DN29" si="375">DJ29+1</f>
        <v>46336</v>
      </c>
      <c r="DL29" s="52">
        <f t="shared" si="375"/>
        <v>46337</v>
      </c>
      <c r="DM29" s="52">
        <f t="shared" si="375"/>
        <v>46338</v>
      </c>
      <c r="DN29" s="53">
        <f t="shared" si="375"/>
        <v>46339</v>
      </c>
      <c r="DO29" s="51">
        <f t="shared" si="43"/>
        <v>46342</v>
      </c>
      <c r="DP29" s="52">
        <f t="shared" ref="DP29:DS29" si="376">DO29+1</f>
        <v>46343</v>
      </c>
      <c r="DQ29" s="52">
        <f t="shared" si="376"/>
        <v>46344</v>
      </c>
      <c r="DR29" s="52">
        <f t="shared" si="376"/>
        <v>46345</v>
      </c>
      <c r="DS29" s="53">
        <f t="shared" si="376"/>
        <v>46346</v>
      </c>
      <c r="DT29" s="51">
        <f t="shared" si="45"/>
        <v>46349</v>
      </c>
      <c r="DU29" s="52">
        <f t="shared" ref="DU29:DX29" si="377">DT29+1</f>
        <v>46350</v>
      </c>
      <c r="DV29" s="52">
        <f t="shared" si="377"/>
        <v>46351</v>
      </c>
      <c r="DW29" s="52">
        <f t="shared" si="377"/>
        <v>46352</v>
      </c>
      <c r="DX29" s="53">
        <f t="shared" si="377"/>
        <v>46353</v>
      </c>
      <c r="DY29" s="51">
        <f t="shared" si="47"/>
        <v>46356</v>
      </c>
      <c r="DZ29" s="52">
        <f t="shared" ref="DZ29:EC29" si="378">DY29+1</f>
        <v>46357</v>
      </c>
      <c r="EA29" s="52">
        <f t="shared" si="378"/>
        <v>46358</v>
      </c>
      <c r="EB29" s="52">
        <f t="shared" si="378"/>
        <v>46359</v>
      </c>
      <c r="EC29" s="53">
        <f t="shared" si="378"/>
        <v>46360</v>
      </c>
      <c r="ED29" s="51">
        <f t="shared" si="49"/>
        <v>46363</v>
      </c>
      <c r="EE29" s="52">
        <f t="shared" ref="EE29:EH29" si="379">ED29+1</f>
        <v>46364</v>
      </c>
      <c r="EF29" s="52">
        <f t="shared" si="379"/>
        <v>46365</v>
      </c>
      <c r="EG29" s="52">
        <f t="shared" si="379"/>
        <v>46366</v>
      </c>
      <c r="EH29" s="53">
        <f t="shared" si="379"/>
        <v>46367</v>
      </c>
      <c r="EI29" s="51">
        <f t="shared" si="51"/>
        <v>46370</v>
      </c>
      <c r="EJ29" s="52">
        <f t="shared" ref="EJ29:EM29" si="380">EI29+1</f>
        <v>46371</v>
      </c>
      <c r="EK29" s="52">
        <f t="shared" si="380"/>
        <v>46372</v>
      </c>
      <c r="EL29" s="52">
        <f t="shared" si="380"/>
        <v>46373</v>
      </c>
      <c r="EM29" s="53">
        <f t="shared" si="380"/>
        <v>46374</v>
      </c>
      <c r="EN29" s="51">
        <f t="shared" si="53"/>
        <v>46377</v>
      </c>
      <c r="EO29" s="52">
        <f t="shared" ref="EO29:ER29" si="381">EN29+1</f>
        <v>46378</v>
      </c>
      <c r="EP29" s="52">
        <f t="shared" si="381"/>
        <v>46379</v>
      </c>
      <c r="EQ29" s="52">
        <f t="shared" si="381"/>
        <v>46380</v>
      </c>
      <c r="ER29" s="53">
        <f t="shared" si="381"/>
        <v>46381</v>
      </c>
      <c r="ES29" s="51">
        <f t="shared" si="55"/>
        <v>46384</v>
      </c>
      <c r="ET29" s="52">
        <f t="shared" ref="ET29:EW29" si="382">ES29+1</f>
        <v>46385</v>
      </c>
      <c r="EU29" s="52">
        <f t="shared" si="382"/>
        <v>46386</v>
      </c>
      <c r="EV29" s="52">
        <f t="shared" si="382"/>
        <v>46387</v>
      </c>
      <c r="EW29" s="53">
        <f t="shared" si="382"/>
        <v>46388</v>
      </c>
      <c r="EX29" s="51">
        <f t="shared" si="57"/>
        <v>46391</v>
      </c>
      <c r="EY29" s="52" t="e">
        <f>#REF!+1</f>
        <v>#REF!</v>
      </c>
      <c r="EZ29" s="52" t="e">
        <f>#REF!+1</f>
        <v>#REF!</v>
      </c>
      <c r="FA29" s="52" t="e">
        <f>#REF!+1</f>
        <v>#REF!</v>
      </c>
      <c r="FB29" s="53" t="e">
        <f>#REF!+1</f>
        <v>#REF!</v>
      </c>
    </row>
    <row r="30" spans="1:158" ht="23.25" customHeight="1">
      <c r="A30" s="26"/>
      <c r="B30" s="27" t="s">
        <v>84</v>
      </c>
      <c r="C30" s="28"/>
      <c r="D30" s="29"/>
      <c r="E30" s="30"/>
      <c r="F30" s="31"/>
      <c r="G30" s="75"/>
      <c r="H30" s="76"/>
      <c r="I30" s="76"/>
      <c r="J30" s="77"/>
      <c r="K30" s="55"/>
      <c r="L30" s="55"/>
      <c r="M30" s="32">
        <f>MIN(M31:M52)</f>
        <v>46251</v>
      </c>
      <c r="N30" s="33">
        <f>MAX(N31:N52)</f>
        <v>46318</v>
      </c>
      <c r="O30" s="25">
        <f>O31+O34+O40+O45+O48</f>
        <v>0.48280885780885779</v>
      </c>
      <c r="P30" s="25"/>
      <c r="Q30" s="25"/>
      <c r="R30" s="25"/>
      <c r="S30" s="51">
        <f t="shared" si="30"/>
        <v>46202</v>
      </c>
      <c r="T30" s="52">
        <f t="shared" ref="T30:W30" si="383">S30+1</f>
        <v>46203</v>
      </c>
      <c r="U30" s="52">
        <f t="shared" si="383"/>
        <v>46204</v>
      </c>
      <c r="V30" s="52">
        <f t="shared" si="383"/>
        <v>46205</v>
      </c>
      <c r="W30" s="53">
        <f t="shared" si="383"/>
        <v>46206</v>
      </c>
      <c r="X30" s="51">
        <v>46209</v>
      </c>
      <c r="Y30" s="52">
        <v>46210</v>
      </c>
      <c r="Z30" s="52">
        <v>46211</v>
      </c>
      <c r="AA30" s="52">
        <v>46212</v>
      </c>
      <c r="AB30" s="53">
        <v>46213</v>
      </c>
      <c r="AC30" s="51">
        <v>46216</v>
      </c>
      <c r="AD30" s="52">
        <v>46217</v>
      </c>
      <c r="AE30" s="52">
        <v>46218</v>
      </c>
      <c r="AF30" s="52">
        <v>46219</v>
      </c>
      <c r="AG30" s="53">
        <v>46220</v>
      </c>
      <c r="AH30" s="51">
        <v>46223</v>
      </c>
      <c r="AI30" s="52">
        <v>46224</v>
      </c>
      <c r="AJ30" s="52">
        <v>46225</v>
      </c>
      <c r="AK30" s="52">
        <v>46226</v>
      </c>
      <c r="AL30" s="53">
        <v>46227</v>
      </c>
      <c r="AM30" s="51">
        <v>46230</v>
      </c>
      <c r="AN30" s="52">
        <v>46231</v>
      </c>
      <c r="AO30" s="52">
        <v>46232</v>
      </c>
      <c r="AP30" s="52">
        <v>46233</v>
      </c>
      <c r="AQ30" s="53">
        <v>46234</v>
      </c>
      <c r="AR30" s="51">
        <v>46237</v>
      </c>
      <c r="AS30" s="52">
        <v>46238</v>
      </c>
      <c r="AT30" s="52">
        <v>46239</v>
      </c>
      <c r="AU30" s="52">
        <v>46240</v>
      </c>
      <c r="AV30" s="53">
        <v>46241</v>
      </c>
      <c r="AW30" s="51">
        <v>46244</v>
      </c>
      <c r="AX30" s="52">
        <v>46245</v>
      </c>
      <c r="AY30" s="52">
        <v>46246</v>
      </c>
      <c r="AZ30" s="52">
        <v>46247</v>
      </c>
      <c r="BA30" s="53">
        <v>46248</v>
      </c>
      <c r="BB30" s="51">
        <v>46251</v>
      </c>
      <c r="BC30" s="52">
        <v>46252</v>
      </c>
      <c r="BD30" s="52">
        <v>46253</v>
      </c>
      <c r="BE30" s="52">
        <v>46254</v>
      </c>
      <c r="BF30" s="53">
        <v>46255</v>
      </c>
      <c r="BG30" s="51">
        <v>46258</v>
      </c>
      <c r="BH30" s="52">
        <v>46259</v>
      </c>
      <c r="BI30" s="52">
        <v>46260</v>
      </c>
      <c r="BJ30" s="52">
        <v>46261</v>
      </c>
      <c r="BK30" s="53">
        <v>46262</v>
      </c>
      <c r="BL30" s="51">
        <v>46265</v>
      </c>
      <c r="BM30" s="52">
        <v>46266</v>
      </c>
      <c r="BN30" s="52">
        <v>46267</v>
      </c>
      <c r="BO30" s="52">
        <v>46268</v>
      </c>
      <c r="BP30" s="53">
        <v>46269</v>
      </c>
      <c r="BQ30" s="51">
        <v>46272</v>
      </c>
      <c r="BR30" s="52">
        <v>46273</v>
      </c>
      <c r="BS30" s="52">
        <v>46274</v>
      </c>
      <c r="BT30" s="52">
        <v>46275</v>
      </c>
      <c r="BU30" s="53">
        <v>46276</v>
      </c>
      <c r="BV30" s="51">
        <v>46279</v>
      </c>
      <c r="BW30" s="52">
        <v>46280</v>
      </c>
      <c r="BX30" s="52">
        <v>46281</v>
      </c>
      <c r="BY30" s="52">
        <v>46282</v>
      </c>
      <c r="BZ30" s="53">
        <v>46283</v>
      </c>
      <c r="CA30" s="51">
        <v>46286</v>
      </c>
      <c r="CB30" s="52">
        <v>46287</v>
      </c>
      <c r="CC30" s="52">
        <v>46288</v>
      </c>
      <c r="CD30" s="52">
        <v>46289</v>
      </c>
      <c r="CE30" s="53">
        <v>46290</v>
      </c>
      <c r="CF30" s="51">
        <v>46293</v>
      </c>
      <c r="CG30" s="52">
        <v>46294</v>
      </c>
      <c r="CH30" s="52">
        <v>46295</v>
      </c>
      <c r="CI30" s="52">
        <v>46296</v>
      </c>
      <c r="CJ30" s="53">
        <v>46297</v>
      </c>
      <c r="CK30" s="51">
        <f t="shared" si="32"/>
        <v>46300</v>
      </c>
      <c r="CL30" s="52">
        <f t="shared" ref="CL30:CO30" si="384">CK30+1</f>
        <v>46301</v>
      </c>
      <c r="CM30" s="52">
        <f t="shared" si="384"/>
        <v>46302</v>
      </c>
      <c r="CN30" s="52">
        <f t="shared" si="384"/>
        <v>46303</v>
      </c>
      <c r="CO30" s="53">
        <f t="shared" si="384"/>
        <v>46304</v>
      </c>
      <c r="CP30" s="51">
        <f t="shared" si="61"/>
        <v>46307</v>
      </c>
      <c r="CQ30" s="52">
        <f t="shared" ref="CQ30:CT30" si="385">CP30+1</f>
        <v>46308</v>
      </c>
      <c r="CR30" s="52">
        <f t="shared" si="385"/>
        <v>46309</v>
      </c>
      <c r="CS30" s="52">
        <f t="shared" si="385"/>
        <v>46310</v>
      </c>
      <c r="CT30" s="53">
        <f t="shared" si="385"/>
        <v>46311</v>
      </c>
      <c r="CU30" s="51">
        <f t="shared" si="35"/>
        <v>46314</v>
      </c>
      <c r="CV30" s="52">
        <f t="shared" ref="CV30:CY30" si="386">CU30+1</f>
        <v>46315</v>
      </c>
      <c r="CW30" s="52">
        <f t="shared" si="386"/>
        <v>46316</v>
      </c>
      <c r="CX30" s="52">
        <f t="shared" si="386"/>
        <v>46317</v>
      </c>
      <c r="CY30" s="53">
        <f t="shared" si="386"/>
        <v>46318</v>
      </c>
      <c r="CZ30" s="51">
        <f t="shared" si="37"/>
        <v>46321</v>
      </c>
      <c r="DA30" s="52">
        <f t="shared" ref="DA30:DD30" si="387">CZ30+1</f>
        <v>46322</v>
      </c>
      <c r="DB30" s="52">
        <f t="shared" si="387"/>
        <v>46323</v>
      </c>
      <c r="DC30" s="52">
        <f t="shared" si="387"/>
        <v>46324</v>
      </c>
      <c r="DD30" s="53">
        <f t="shared" si="387"/>
        <v>46325</v>
      </c>
      <c r="DE30" s="51">
        <f t="shared" si="39"/>
        <v>46328</v>
      </c>
      <c r="DF30" s="52">
        <f t="shared" ref="DF30:DI30" si="388">DE30+1</f>
        <v>46329</v>
      </c>
      <c r="DG30" s="52">
        <f t="shared" si="388"/>
        <v>46330</v>
      </c>
      <c r="DH30" s="52">
        <f t="shared" si="388"/>
        <v>46331</v>
      </c>
      <c r="DI30" s="53">
        <f t="shared" si="388"/>
        <v>46332</v>
      </c>
      <c r="DJ30" s="51">
        <f t="shared" si="41"/>
        <v>46335</v>
      </c>
      <c r="DK30" s="52">
        <f t="shared" ref="DK30:DN30" si="389">DJ30+1</f>
        <v>46336</v>
      </c>
      <c r="DL30" s="52">
        <f t="shared" si="389"/>
        <v>46337</v>
      </c>
      <c r="DM30" s="52">
        <f t="shared" si="389"/>
        <v>46338</v>
      </c>
      <c r="DN30" s="53">
        <f t="shared" si="389"/>
        <v>46339</v>
      </c>
      <c r="DO30" s="51">
        <f t="shared" si="43"/>
        <v>46342</v>
      </c>
      <c r="DP30" s="52">
        <f t="shared" ref="DP30:DS30" si="390">DO30+1</f>
        <v>46343</v>
      </c>
      <c r="DQ30" s="52">
        <f t="shared" si="390"/>
        <v>46344</v>
      </c>
      <c r="DR30" s="52">
        <f t="shared" si="390"/>
        <v>46345</v>
      </c>
      <c r="DS30" s="53">
        <f t="shared" si="390"/>
        <v>46346</v>
      </c>
      <c r="DT30" s="51">
        <f t="shared" si="45"/>
        <v>46349</v>
      </c>
      <c r="DU30" s="52">
        <f t="shared" ref="DU30:DX30" si="391">DT30+1</f>
        <v>46350</v>
      </c>
      <c r="DV30" s="52">
        <f t="shared" si="391"/>
        <v>46351</v>
      </c>
      <c r="DW30" s="52">
        <f t="shared" si="391"/>
        <v>46352</v>
      </c>
      <c r="DX30" s="53">
        <f t="shared" si="391"/>
        <v>46353</v>
      </c>
      <c r="DY30" s="51">
        <f t="shared" si="47"/>
        <v>46356</v>
      </c>
      <c r="DZ30" s="52">
        <f t="shared" ref="DZ30:EC30" si="392">DY30+1</f>
        <v>46357</v>
      </c>
      <c r="EA30" s="52">
        <f t="shared" si="392"/>
        <v>46358</v>
      </c>
      <c r="EB30" s="52">
        <f t="shared" si="392"/>
        <v>46359</v>
      </c>
      <c r="EC30" s="53">
        <f t="shared" si="392"/>
        <v>46360</v>
      </c>
      <c r="ED30" s="51">
        <f t="shared" si="49"/>
        <v>46363</v>
      </c>
      <c r="EE30" s="52">
        <f t="shared" ref="EE30:EH30" si="393">ED30+1</f>
        <v>46364</v>
      </c>
      <c r="EF30" s="52">
        <f t="shared" si="393"/>
        <v>46365</v>
      </c>
      <c r="EG30" s="52">
        <f t="shared" si="393"/>
        <v>46366</v>
      </c>
      <c r="EH30" s="53">
        <f t="shared" si="393"/>
        <v>46367</v>
      </c>
      <c r="EI30" s="51">
        <f t="shared" si="51"/>
        <v>46370</v>
      </c>
      <c r="EJ30" s="52">
        <f t="shared" ref="EJ30:EM30" si="394">EI30+1</f>
        <v>46371</v>
      </c>
      <c r="EK30" s="52">
        <f t="shared" si="394"/>
        <v>46372</v>
      </c>
      <c r="EL30" s="52">
        <f t="shared" si="394"/>
        <v>46373</v>
      </c>
      <c r="EM30" s="53">
        <f t="shared" si="394"/>
        <v>46374</v>
      </c>
      <c r="EN30" s="51">
        <f t="shared" si="53"/>
        <v>46377</v>
      </c>
      <c r="EO30" s="52">
        <f t="shared" ref="EO30:ER30" si="395">EN30+1</f>
        <v>46378</v>
      </c>
      <c r="EP30" s="52">
        <f t="shared" si="395"/>
        <v>46379</v>
      </c>
      <c r="EQ30" s="52">
        <f t="shared" si="395"/>
        <v>46380</v>
      </c>
      <c r="ER30" s="53">
        <f t="shared" si="395"/>
        <v>46381</v>
      </c>
      <c r="ES30" s="51">
        <f t="shared" si="55"/>
        <v>46384</v>
      </c>
      <c r="ET30" s="52">
        <f t="shared" ref="ET30:EW30" si="396">ES30+1</f>
        <v>46385</v>
      </c>
      <c r="EU30" s="52">
        <f t="shared" si="396"/>
        <v>46386</v>
      </c>
      <c r="EV30" s="52">
        <f t="shared" si="396"/>
        <v>46387</v>
      </c>
      <c r="EW30" s="53">
        <f t="shared" si="396"/>
        <v>46388</v>
      </c>
      <c r="EX30" s="51">
        <f t="shared" si="57"/>
        <v>46391</v>
      </c>
      <c r="EY30" s="52" t="e">
        <f>#REF!+1</f>
        <v>#REF!</v>
      </c>
      <c r="EZ30" s="52" t="e">
        <f>#REF!+1</f>
        <v>#REF!</v>
      </c>
      <c r="FA30" s="52" t="e">
        <f>#REF!+1</f>
        <v>#REF!</v>
      </c>
      <c r="FB30" s="53" t="e">
        <f>#REF!+1</f>
        <v>#REF!</v>
      </c>
    </row>
    <row r="31" spans="1:158" ht="17.25" customHeight="1" outlineLevel="1">
      <c r="A31" s="26"/>
      <c r="B31" s="34"/>
      <c r="C31" s="35" t="s">
        <v>85</v>
      </c>
      <c r="D31" s="36"/>
      <c r="E31" s="37"/>
      <c r="F31" s="38"/>
      <c r="G31" s="59"/>
      <c r="H31" s="67"/>
      <c r="I31" s="67"/>
      <c r="J31" s="68"/>
      <c r="K31" s="69"/>
      <c r="L31" s="70"/>
      <c r="M31" s="39">
        <f>MIN(M32:M33)</f>
        <v>46252</v>
      </c>
      <c r="N31" s="40">
        <f>MAX(N32:N33)</f>
        <v>46262</v>
      </c>
      <c r="O31" s="24">
        <f>SUM(O32:O33)</f>
        <v>1.8686868686868686E-2</v>
      </c>
      <c r="P31" s="24"/>
      <c r="Q31" s="24"/>
      <c r="R31" s="24"/>
      <c r="S31" s="51">
        <f t="shared" si="30"/>
        <v>46202</v>
      </c>
      <c r="T31" s="52">
        <f t="shared" ref="T31:W31" si="397">S31+1</f>
        <v>46203</v>
      </c>
      <c r="U31" s="52">
        <f t="shared" si="397"/>
        <v>46204</v>
      </c>
      <c r="V31" s="52">
        <f t="shared" si="397"/>
        <v>46205</v>
      </c>
      <c r="W31" s="53">
        <f t="shared" si="397"/>
        <v>46206</v>
      </c>
      <c r="X31" s="51">
        <v>46209</v>
      </c>
      <c r="Y31" s="52">
        <v>46210</v>
      </c>
      <c r="Z31" s="52">
        <v>46211</v>
      </c>
      <c r="AA31" s="52">
        <v>46212</v>
      </c>
      <c r="AB31" s="53">
        <v>46213</v>
      </c>
      <c r="AC31" s="51">
        <v>46216</v>
      </c>
      <c r="AD31" s="52">
        <v>46217</v>
      </c>
      <c r="AE31" s="52">
        <v>46218</v>
      </c>
      <c r="AF31" s="52">
        <v>46219</v>
      </c>
      <c r="AG31" s="53">
        <v>46220</v>
      </c>
      <c r="AH31" s="51">
        <v>46223</v>
      </c>
      <c r="AI31" s="52">
        <v>46224</v>
      </c>
      <c r="AJ31" s="52">
        <v>46225</v>
      </c>
      <c r="AK31" s="52">
        <v>46226</v>
      </c>
      <c r="AL31" s="53">
        <v>46227</v>
      </c>
      <c r="AM31" s="51">
        <v>46230</v>
      </c>
      <c r="AN31" s="52">
        <v>46231</v>
      </c>
      <c r="AO31" s="52">
        <v>46232</v>
      </c>
      <c r="AP31" s="52">
        <v>46233</v>
      </c>
      <c r="AQ31" s="53">
        <v>46234</v>
      </c>
      <c r="AR31" s="51">
        <v>46237</v>
      </c>
      <c r="AS31" s="52">
        <v>46238</v>
      </c>
      <c r="AT31" s="52">
        <v>46239</v>
      </c>
      <c r="AU31" s="52">
        <v>46240</v>
      </c>
      <c r="AV31" s="53">
        <v>46241</v>
      </c>
      <c r="AW31" s="51">
        <v>46244</v>
      </c>
      <c r="AX31" s="52">
        <v>46245</v>
      </c>
      <c r="AY31" s="52">
        <v>46246</v>
      </c>
      <c r="AZ31" s="52">
        <v>46247</v>
      </c>
      <c r="BA31" s="53">
        <v>46248</v>
      </c>
      <c r="BB31" s="51">
        <v>46251</v>
      </c>
      <c r="BC31" s="52">
        <v>46252</v>
      </c>
      <c r="BD31" s="52">
        <v>46253</v>
      </c>
      <c r="BE31" s="52">
        <v>46254</v>
      </c>
      <c r="BF31" s="53">
        <v>46255</v>
      </c>
      <c r="BG31" s="51">
        <v>46258</v>
      </c>
      <c r="BH31" s="52">
        <v>46259</v>
      </c>
      <c r="BI31" s="52">
        <v>46260</v>
      </c>
      <c r="BJ31" s="52">
        <v>46261</v>
      </c>
      <c r="BK31" s="53">
        <v>46262</v>
      </c>
      <c r="BL31" s="51">
        <v>46265</v>
      </c>
      <c r="BM31" s="52">
        <v>46266</v>
      </c>
      <c r="BN31" s="52">
        <v>46267</v>
      </c>
      <c r="BO31" s="52">
        <v>46268</v>
      </c>
      <c r="BP31" s="53">
        <v>46269</v>
      </c>
      <c r="BQ31" s="51">
        <v>46272</v>
      </c>
      <c r="BR31" s="52">
        <v>46273</v>
      </c>
      <c r="BS31" s="52">
        <v>46274</v>
      </c>
      <c r="BT31" s="52">
        <v>46275</v>
      </c>
      <c r="BU31" s="53">
        <v>46276</v>
      </c>
      <c r="BV31" s="51">
        <v>46279</v>
      </c>
      <c r="BW31" s="52">
        <v>46280</v>
      </c>
      <c r="BX31" s="52">
        <v>46281</v>
      </c>
      <c r="BY31" s="52">
        <v>46282</v>
      </c>
      <c r="BZ31" s="53">
        <v>46283</v>
      </c>
      <c r="CA31" s="51">
        <v>46286</v>
      </c>
      <c r="CB31" s="52">
        <v>46287</v>
      </c>
      <c r="CC31" s="52">
        <v>46288</v>
      </c>
      <c r="CD31" s="52">
        <v>46289</v>
      </c>
      <c r="CE31" s="53">
        <v>46290</v>
      </c>
      <c r="CF31" s="51">
        <v>46293</v>
      </c>
      <c r="CG31" s="52">
        <v>46294</v>
      </c>
      <c r="CH31" s="52">
        <v>46295</v>
      </c>
      <c r="CI31" s="52">
        <v>46296</v>
      </c>
      <c r="CJ31" s="53">
        <v>46297</v>
      </c>
      <c r="CK31" s="51">
        <f t="shared" si="32"/>
        <v>46300</v>
      </c>
      <c r="CL31" s="52">
        <f t="shared" ref="CL31:CO31" si="398">CK31+1</f>
        <v>46301</v>
      </c>
      <c r="CM31" s="52">
        <f t="shared" si="398"/>
        <v>46302</v>
      </c>
      <c r="CN31" s="52">
        <f t="shared" si="398"/>
        <v>46303</v>
      </c>
      <c r="CO31" s="53">
        <f t="shared" si="398"/>
        <v>46304</v>
      </c>
      <c r="CP31" s="51">
        <f t="shared" si="61"/>
        <v>46307</v>
      </c>
      <c r="CQ31" s="52">
        <f t="shared" ref="CQ31:CT31" si="399">CP31+1</f>
        <v>46308</v>
      </c>
      <c r="CR31" s="52">
        <f t="shared" si="399"/>
        <v>46309</v>
      </c>
      <c r="CS31" s="52">
        <f t="shared" si="399"/>
        <v>46310</v>
      </c>
      <c r="CT31" s="53">
        <f t="shared" si="399"/>
        <v>46311</v>
      </c>
      <c r="CU31" s="51">
        <f t="shared" si="35"/>
        <v>46314</v>
      </c>
      <c r="CV31" s="52">
        <f t="shared" ref="CV31:CY31" si="400">CU31+1</f>
        <v>46315</v>
      </c>
      <c r="CW31" s="52">
        <f t="shared" si="400"/>
        <v>46316</v>
      </c>
      <c r="CX31" s="52">
        <f t="shared" si="400"/>
        <v>46317</v>
      </c>
      <c r="CY31" s="53">
        <f t="shared" si="400"/>
        <v>46318</v>
      </c>
      <c r="CZ31" s="51">
        <f t="shared" si="37"/>
        <v>46321</v>
      </c>
      <c r="DA31" s="52">
        <f t="shared" ref="DA31:DD31" si="401">CZ31+1</f>
        <v>46322</v>
      </c>
      <c r="DB31" s="52">
        <f t="shared" si="401"/>
        <v>46323</v>
      </c>
      <c r="DC31" s="52">
        <f t="shared" si="401"/>
        <v>46324</v>
      </c>
      <c r="DD31" s="53">
        <f t="shared" si="401"/>
        <v>46325</v>
      </c>
      <c r="DE31" s="51">
        <f t="shared" si="39"/>
        <v>46328</v>
      </c>
      <c r="DF31" s="52">
        <f t="shared" ref="DF31:DI31" si="402">DE31+1</f>
        <v>46329</v>
      </c>
      <c r="DG31" s="52">
        <f t="shared" si="402"/>
        <v>46330</v>
      </c>
      <c r="DH31" s="52">
        <f t="shared" si="402"/>
        <v>46331</v>
      </c>
      <c r="DI31" s="53">
        <f t="shared" si="402"/>
        <v>46332</v>
      </c>
      <c r="DJ31" s="51">
        <f t="shared" si="41"/>
        <v>46335</v>
      </c>
      <c r="DK31" s="52">
        <f t="shared" ref="DK31:DN31" si="403">DJ31+1</f>
        <v>46336</v>
      </c>
      <c r="DL31" s="52">
        <f t="shared" si="403"/>
        <v>46337</v>
      </c>
      <c r="DM31" s="52">
        <f t="shared" si="403"/>
        <v>46338</v>
      </c>
      <c r="DN31" s="53">
        <f t="shared" si="403"/>
        <v>46339</v>
      </c>
      <c r="DO31" s="51">
        <f t="shared" si="43"/>
        <v>46342</v>
      </c>
      <c r="DP31" s="52">
        <f t="shared" ref="DP31:DS31" si="404">DO31+1</f>
        <v>46343</v>
      </c>
      <c r="DQ31" s="52">
        <f t="shared" si="404"/>
        <v>46344</v>
      </c>
      <c r="DR31" s="52">
        <f t="shared" si="404"/>
        <v>46345</v>
      </c>
      <c r="DS31" s="53">
        <f t="shared" si="404"/>
        <v>46346</v>
      </c>
      <c r="DT31" s="51">
        <f t="shared" si="45"/>
        <v>46349</v>
      </c>
      <c r="DU31" s="52">
        <f t="shared" ref="DU31:DX31" si="405">DT31+1</f>
        <v>46350</v>
      </c>
      <c r="DV31" s="52">
        <f t="shared" si="405"/>
        <v>46351</v>
      </c>
      <c r="DW31" s="52">
        <f t="shared" si="405"/>
        <v>46352</v>
      </c>
      <c r="DX31" s="53">
        <f t="shared" si="405"/>
        <v>46353</v>
      </c>
      <c r="DY31" s="51">
        <f t="shared" si="47"/>
        <v>46356</v>
      </c>
      <c r="DZ31" s="52">
        <f t="shared" ref="DZ31:EC31" si="406">DY31+1</f>
        <v>46357</v>
      </c>
      <c r="EA31" s="52">
        <f t="shared" si="406"/>
        <v>46358</v>
      </c>
      <c r="EB31" s="52">
        <f t="shared" si="406"/>
        <v>46359</v>
      </c>
      <c r="EC31" s="53">
        <f t="shared" si="406"/>
        <v>46360</v>
      </c>
      <c r="ED31" s="51">
        <f t="shared" si="49"/>
        <v>46363</v>
      </c>
      <c r="EE31" s="52">
        <f t="shared" ref="EE31:EH31" si="407">ED31+1</f>
        <v>46364</v>
      </c>
      <c r="EF31" s="52">
        <f t="shared" si="407"/>
        <v>46365</v>
      </c>
      <c r="EG31" s="52">
        <f t="shared" si="407"/>
        <v>46366</v>
      </c>
      <c r="EH31" s="53">
        <f t="shared" si="407"/>
        <v>46367</v>
      </c>
      <c r="EI31" s="51">
        <f t="shared" si="51"/>
        <v>46370</v>
      </c>
      <c r="EJ31" s="52">
        <f t="shared" ref="EJ31:EM31" si="408">EI31+1</f>
        <v>46371</v>
      </c>
      <c r="EK31" s="52">
        <f t="shared" si="408"/>
        <v>46372</v>
      </c>
      <c r="EL31" s="52">
        <f t="shared" si="408"/>
        <v>46373</v>
      </c>
      <c r="EM31" s="53">
        <f t="shared" si="408"/>
        <v>46374</v>
      </c>
      <c r="EN31" s="51">
        <f t="shared" si="53"/>
        <v>46377</v>
      </c>
      <c r="EO31" s="52">
        <f t="shared" ref="EO31:ER31" si="409">EN31+1</f>
        <v>46378</v>
      </c>
      <c r="EP31" s="52">
        <f t="shared" si="409"/>
        <v>46379</v>
      </c>
      <c r="EQ31" s="52">
        <f t="shared" si="409"/>
        <v>46380</v>
      </c>
      <c r="ER31" s="53">
        <f t="shared" si="409"/>
        <v>46381</v>
      </c>
      <c r="ES31" s="51">
        <f t="shared" si="55"/>
        <v>46384</v>
      </c>
      <c r="ET31" s="52">
        <f t="shared" ref="ET31:EW31" si="410">ES31+1</f>
        <v>46385</v>
      </c>
      <c r="EU31" s="52">
        <f t="shared" si="410"/>
        <v>46386</v>
      </c>
      <c r="EV31" s="52">
        <f t="shared" si="410"/>
        <v>46387</v>
      </c>
      <c r="EW31" s="53">
        <f t="shared" si="410"/>
        <v>46388</v>
      </c>
      <c r="EX31" s="51">
        <f t="shared" si="57"/>
        <v>46391</v>
      </c>
      <c r="EY31" s="52">
        <f t="shared" si="58"/>
        <v>46392</v>
      </c>
      <c r="EZ31" s="52" t="e">
        <f t="shared" si="58"/>
        <v>#REF!</v>
      </c>
      <c r="FA31" s="52" t="e">
        <f t="shared" si="58"/>
        <v>#REF!</v>
      </c>
      <c r="FB31" s="53" t="e">
        <f t="shared" si="58"/>
        <v>#REF!</v>
      </c>
    </row>
    <row r="32" spans="1:158" ht="18" customHeight="1" outlineLevel="2">
      <c r="A32" s="26"/>
      <c r="B32" s="34"/>
      <c r="C32" s="34"/>
      <c r="D32" s="41" t="s">
        <v>87</v>
      </c>
      <c r="E32" s="42"/>
      <c r="F32" s="43"/>
      <c r="G32" s="60"/>
      <c r="H32" s="71" t="s">
        <v>18</v>
      </c>
      <c r="I32" s="71" t="s">
        <v>18</v>
      </c>
      <c r="J32" s="72" t="s">
        <v>18</v>
      </c>
      <c r="K32" s="73"/>
      <c r="L32" s="74" t="s">
        <v>23</v>
      </c>
      <c r="M32" s="46">
        <v>46252</v>
      </c>
      <c r="N32" s="47">
        <v>46262</v>
      </c>
      <c r="O32" s="48">
        <f>4/132/5+5/132/6</f>
        <v>1.2373737373737374E-2</v>
      </c>
      <c r="P32" s="48"/>
      <c r="Q32" s="49"/>
      <c r="R32" s="48"/>
      <c r="S32" s="51">
        <f t="shared" si="30"/>
        <v>46202</v>
      </c>
      <c r="T32" s="52">
        <f t="shared" ref="T32:W32" si="411">S32+1</f>
        <v>46203</v>
      </c>
      <c r="U32" s="52">
        <f t="shared" si="411"/>
        <v>46204</v>
      </c>
      <c r="V32" s="52">
        <f t="shared" si="411"/>
        <v>46205</v>
      </c>
      <c r="W32" s="53">
        <f t="shared" si="411"/>
        <v>46206</v>
      </c>
      <c r="X32" s="51">
        <v>46209</v>
      </c>
      <c r="Y32" s="52">
        <v>46210</v>
      </c>
      <c r="Z32" s="52">
        <v>46211</v>
      </c>
      <c r="AA32" s="52">
        <v>46212</v>
      </c>
      <c r="AB32" s="53">
        <v>46213</v>
      </c>
      <c r="AC32" s="51">
        <v>46216</v>
      </c>
      <c r="AD32" s="52">
        <v>46217</v>
      </c>
      <c r="AE32" s="52">
        <v>46218</v>
      </c>
      <c r="AF32" s="52">
        <v>46219</v>
      </c>
      <c r="AG32" s="53">
        <v>46220</v>
      </c>
      <c r="AH32" s="51">
        <v>46223</v>
      </c>
      <c r="AI32" s="52">
        <v>46224</v>
      </c>
      <c r="AJ32" s="52">
        <v>46225</v>
      </c>
      <c r="AK32" s="52">
        <v>46226</v>
      </c>
      <c r="AL32" s="53">
        <v>46227</v>
      </c>
      <c r="AM32" s="51">
        <v>46230</v>
      </c>
      <c r="AN32" s="52">
        <v>46231</v>
      </c>
      <c r="AO32" s="52">
        <v>46232</v>
      </c>
      <c r="AP32" s="52">
        <v>46233</v>
      </c>
      <c r="AQ32" s="53">
        <v>46234</v>
      </c>
      <c r="AR32" s="51">
        <v>46237</v>
      </c>
      <c r="AS32" s="52">
        <v>46238</v>
      </c>
      <c r="AT32" s="52">
        <v>46239</v>
      </c>
      <c r="AU32" s="52">
        <v>46240</v>
      </c>
      <c r="AV32" s="53">
        <v>46241</v>
      </c>
      <c r="AW32" s="51">
        <v>46244</v>
      </c>
      <c r="AX32" s="52">
        <v>46245</v>
      </c>
      <c r="AY32" s="52">
        <v>46246</v>
      </c>
      <c r="AZ32" s="52">
        <v>46247</v>
      </c>
      <c r="BA32" s="53">
        <v>46248</v>
      </c>
      <c r="BB32" s="51">
        <v>46251</v>
      </c>
      <c r="BC32" s="52">
        <v>46252</v>
      </c>
      <c r="BD32" s="52">
        <v>46253</v>
      </c>
      <c r="BE32" s="52">
        <v>46254</v>
      </c>
      <c r="BF32" s="53">
        <v>46255</v>
      </c>
      <c r="BG32" s="51">
        <v>46258</v>
      </c>
      <c r="BH32" s="52">
        <v>46259</v>
      </c>
      <c r="BI32" s="52">
        <v>46260</v>
      </c>
      <c r="BJ32" s="52">
        <v>46261</v>
      </c>
      <c r="BK32" s="53">
        <v>46262</v>
      </c>
      <c r="BL32" s="51">
        <v>46265</v>
      </c>
      <c r="BM32" s="52">
        <v>46266</v>
      </c>
      <c r="BN32" s="52">
        <v>46267</v>
      </c>
      <c r="BO32" s="52">
        <v>46268</v>
      </c>
      <c r="BP32" s="53">
        <v>46269</v>
      </c>
      <c r="BQ32" s="51">
        <v>46272</v>
      </c>
      <c r="BR32" s="52">
        <v>46273</v>
      </c>
      <c r="BS32" s="52">
        <v>46274</v>
      </c>
      <c r="BT32" s="52">
        <v>46275</v>
      </c>
      <c r="BU32" s="53">
        <v>46276</v>
      </c>
      <c r="BV32" s="51">
        <v>46279</v>
      </c>
      <c r="BW32" s="52">
        <v>46280</v>
      </c>
      <c r="BX32" s="52">
        <v>46281</v>
      </c>
      <c r="BY32" s="52">
        <v>46282</v>
      </c>
      <c r="BZ32" s="53">
        <v>46283</v>
      </c>
      <c r="CA32" s="51">
        <v>46286</v>
      </c>
      <c r="CB32" s="52">
        <v>46287</v>
      </c>
      <c r="CC32" s="52">
        <v>46288</v>
      </c>
      <c r="CD32" s="52">
        <v>46289</v>
      </c>
      <c r="CE32" s="53">
        <v>46290</v>
      </c>
      <c r="CF32" s="51">
        <v>46293</v>
      </c>
      <c r="CG32" s="52">
        <v>46294</v>
      </c>
      <c r="CH32" s="52">
        <v>46295</v>
      </c>
      <c r="CI32" s="52">
        <v>46296</v>
      </c>
      <c r="CJ32" s="53">
        <v>46297</v>
      </c>
      <c r="CK32" s="51">
        <f t="shared" si="32"/>
        <v>46300</v>
      </c>
      <c r="CL32" s="52">
        <f t="shared" ref="CL32:CO32" si="412">CK32+1</f>
        <v>46301</v>
      </c>
      <c r="CM32" s="52">
        <f t="shared" si="412"/>
        <v>46302</v>
      </c>
      <c r="CN32" s="52">
        <f t="shared" si="412"/>
        <v>46303</v>
      </c>
      <c r="CO32" s="53">
        <f t="shared" si="412"/>
        <v>46304</v>
      </c>
      <c r="CP32" s="51">
        <f t="shared" si="61"/>
        <v>46307</v>
      </c>
      <c r="CQ32" s="52">
        <f t="shared" ref="CQ32:CT32" si="413">CP32+1</f>
        <v>46308</v>
      </c>
      <c r="CR32" s="52">
        <f t="shared" si="413"/>
        <v>46309</v>
      </c>
      <c r="CS32" s="52">
        <f t="shared" si="413"/>
        <v>46310</v>
      </c>
      <c r="CT32" s="53">
        <f t="shared" si="413"/>
        <v>46311</v>
      </c>
      <c r="CU32" s="51">
        <f t="shared" si="35"/>
        <v>46314</v>
      </c>
      <c r="CV32" s="52">
        <f t="shared" ref="CV32:CY32" si="414">CU32+1</f>
        <v>46315</v>
      </c>
      <c r="CW32" s="52">
        <f t="shared" si="414"/>
        <v>46316</v>
      </c>
      <c r="CX32" s="52">
        <f t="shared" si="414"/>
        <v>46317</v>
      </c>
      <c r="CY32" s="53">
        <f t="shared" si="414"/>
        <v>46318</v>
      </c>
      <c r="CZ32" s="51">
        <f t="shared" si="37"/>
        <v>46321</v>
      </c>
      <c r="DA32" s="52">
        <f t="shared" ref="DA32:DD32" si="415">CZ32+1</f>
        <v>46322</v>
      </c>
      <c r="DB32" s="52">
        <f t="shared" si="415"/>
        <v>46323</v>
      </c>
      <c r="DC32" s="52">
        <f t="shared" si="415"/>
        <v>46324</v>
      </c>
      <c r="DD32" s="53">
        <f t="shared" si="415"/>
        <v>46325</v>
      </c>
      <c r="DE32" s="51">
        <f t="shared" si="39"/>
        <v>46328</v>
      </c>
      <c r="DF32" s="52">
        <f t="shared" ref="DF32:DI32" si="416">DE32+1</f>
        <v>46329</v>
      </c>
      <c r="DG32" s="52">
        <f t="shared" si="416"/>
        <v>46330</v>
      </c>
      <c r="DH32" s="52">
        <f t="shared" si="416"/>
        <v>46331</v>
      </c>
      <c r="DI32" s="53">
        <f t="shared" si="416"/>
        <v>46332</v>
      </c>
      <c r="DJ32" s="51">
        <f t="shared" si="41"/>
        <v>46335</v>
      </c>
      <c r="DK32" s="52">
        <f t="shared" ref="DK32:DN32" si="417">DJ32+1</f>
        <v>46336</v>
      </c>
      <c r="DL32" s="52">
        <f t="shared" si="417"/>
        <v>46337</v>
      </c>
      <c r="DM32" s="52">
        <f t="shared" si="417"/>
        <v>46338</v>
      </c>
      <c r="DN32" s="53">
        <f t="shared" si="417"/>
        <v>46339</v>
      </c>
      <c r="DO32" s="51">
        <f t="shared" si="43"/>
        <v>46342</v>
      </c>
      <c r="DP32" s="52">
        <f t="shared" ref="DP32:DS32" si="418">DO32+1</f>
        <v>46343</v>
      </c>
      <c r="DQ32" s="52">
        <f t="shared" si="418"/>
        <v>46344</v>
      </c>
      <c r="DR32" s="52">
        <f t="shared" si="418"/>
        <v>46345</v>
      </c>
      <c r="DS32" s="53">
        <f t="shared" si="418"/>
        <v>46346</v>
      </c>
      <c r="DT32" s="51">
        <f t="shared" si="45"/>
        <v>46349</v>
      </c>
      <c r="DU32" s="52">
        <f t="shared" ref="DU32:DX32" si="419">DT32+1</f>
        <v>46350</v>
      </c>
      <c r="DV32" s="52">
        <f t="shared" si="419"/>
        <v>46351</v>
      </c>
      <c r="DW32" s="52">
        <f t="shared" si="419"/>
        <v>46352</v>
      </c>
      <c r="DX32" s="53">
        <f t="shared" si="419"/>
        <v>46353</v>
      </c>
      <c r="DY32" s="51">
        <f t="shared" si="47"/>
        <v>46356</v>
      </c>
      <c r="DZ32" s="52">
        <f t="shared" ref="DZ32:EC32" si="420">DY32+1</f>
        <v>46357</v>
      </c>
      <c r="EA32" s="52">
        <f t="shared" si="420"/>
        <v>46358</v>
      </c>
      <c r="EB32" s="52">
        <f t="shared" si="420"/>
        <v>46359</v>
      </c>
      <c r="EC32" s="53">
        <f t="shared" si="420"/>
        <v>46360</v>
      </c>
      <c r="ED32" s="51">
        <f t="shared" si="49"/>
        <v>46363</v>
      </c>
      <c r="EE32" s="52">
        <f t="shared" ref="EE32:EH32" si="421">ED32+1</f>
        <v>46364</v>
      </c>
      <c r="EF32" s="52">
        <f t="shared" si="421"/>
        <v>46365</v>
      </c>
      <c r="EG32" s="52">
        <f t="shared" si="421"/>
        <v>46366</v>
      </c>
      <c r="EH32" s="53">
        <f t="shared" si="421"/>
        <v>46367</v>
      </c>
      <c r="EI32" s="51">
        <f t="shared" si="51"/>
        <v>46370</v>
      </c>
      <c r="EJ32" s="52">
        <f t="shared" ref="EJ32:EM32" si="422">EI32+1</f>
        <v>46371</v>
      </c>
      <c r="EK32" s="52">
        <f t="shared" si="422"/>
        <v>46372</v>
      </c>
      <c r="EL32" s="52">
        <f t="shared" si="422"/>
        <v>46373</v>
      </c>
      <c r="EM32" s="53">
        <f t="shared" si="422"/>
        <v>46374</v>
      </c>
      <c r="EN32" s="51">
        <f t="shared" si="53"/>
        <v>46377</v>
      </c>
      <c r="EO32" s="52">
        <f t="shared" ref="EO32:ER32" si="423">EN32+1</f>
        <v>46378</v>
      </c>
      <c r="EP32" s="52">
        <f t="shared" si="423"/>
        <v>46379</v>
      </c>
      <c r="EQ32" s="52">
        <f t="shared" si="423"/>
        <v>46380</v>
      </c>
      <c r="ER32" s="53">
        <f t="shared" si="423"/>
        <v>46381</v>
      </c>
      <c r="ES32" s="51">
        <f t="shared" si="55"/>
        <v>46384</v>
      </c>
      <c r="ET32" s="52">
        <f t="shared" ref="ET32:EW32" si="424">ES32+1</f>
        <v>46385</v>
      </c>
      <c r="EU32" s="52">
        <f t="shared" si="424"/>
        <v>46386</v>
      </c>
      <c r="EV32" s="52">
        <f t="shared" si="424"/>
        <v>46387</v>
      </c>
      <c r="EW32" s="53">
        <f t="shared" si="424"/>
        <v>46388</v>
      </c>
      <c r="EX32" s="51">
        <f t="shared" si="57"/>
        <v>46391</v>
      </c>
      <c r="EY32" s="52">
        <f t="shared" si="58"/>
        <v>46392</v>
      </c>
      <c r="EZ32" s="52">
        <f t="shared" si="58"/>
        <v>46393</v>
      </c>
      <c r="FA32" s="52" t="e">
        <f t="shared" si="58"/>
        <v>#REF!</v>
      </c>
      <c r="FB32" s="53" t="e">
        <f t="shared" si="58"/>
        <v>#REF!</v>
      </c>
    </row>
    <row r="33" spans="1:158" ht="18" customHeight="1" outlineLevel="2">
      <c r="A33" s="26"/>
      <c r="B33" s="34"/>
      <c r="C33" s="34"/>
      <c r="D33" s="2" t="s">
        <v>86</v>
      </c>
      <c r="E33" s="42"/>
      <c r="F33" s="43"/>
      <c r="G33" s="60"/>
      <c r="H33" s="71" t="s">
        <v>18</v>
      </c>
      <c r="I33" s="71" t="s">
        <v>18</v>
      </c>
      <c r="J33" s="72" t="s">
        <v>18</v>
      </c>
      <c r="K33" s="73"/>
      <c r="L33" s="74"/>
      <c r="M33" s="46">
        <v>46258</v>
      </c>
      <c r="N33" s="47">
        <v>46262</v>
      </c>
      <c r="O33" s="14">
        <f>5/132/6</f>
        <v>6.313131313131313E-3</v>
      </c>
      <c r="P33" s="14"/>
      <c r="Q33" s="15"/>
      <c r="R33" s="14"/>
      <c r="S33" s="51">
        <f t="shared" si="30"/>
        <v>46202</v>
      </c>
      <c r="T33" s="52">
        <f t="shared" ref="T33:W33" si="425">S33+1</f>
        <v>46203</v>
      </c>
      <c r="U33" s="52">
        <f t="shared" si="425"/>
        <v>46204</v>
      </c>
      <c r="V33" s="52">
        <f t="shared" si="425"/>
        <v>46205</v>
      </c>
      <c r="W33" s="53">
        <f t="shared" si="425"/>
        <v>46206</v>
      </c>
      <c r="X33" s="51">
        <v>46209</v>
      </c>
      <c r="Y33" s="52">
        <v>46210</v>
      </c>
      <c r="Z33" s="52">
        <v>46211</v>
      </c>
      <c r="AA33" s="52">
        <v>46212</v>
      </c>
      <c r="AB33" s="53">
        <v>46213</v>
      </c>
      <c r="AC33" s="51">
        <v>46216</v>
      </c>
      <c r="AD33" s="52">
        <v>46217</v>
      </c>
      <c r="AE33" s="52">
        <v>46218</v>
      </c>
      <c r="AF33" s="52">
        <v>46219</v>
      </c>
      <c r="AG33" s="53">
        <v>46220</v>
      </c>
      <c r="AH33" s="51">
        <v>46223</v>
      </c>
      <c r="AI33" s="52">
        <v>46224</v>
      </c>
      <c r="AJ33" s="52">
        <v>46225</v>
      </c>
      <c r="AK33" s="52">
        <v>46226</v>
      </c>
      <c r="AL33" s="53">
        <v>46227</v>
      </c>
      <c r="AM33" s="51">
        <v>46230</v>
      </c>
      <c r="AN33" s="52">
        <v>46231</v>
      </c>
      <c r="AO33" s="52">
        <v>46232</v>
      </c>
      <c r="AP33" s="52">
        <v>46233</v>
      </c>
      <c r="AQ33" s="53">
        <v>46234</v>
      </c>
      <c r="AR33" s="51">
        <v>46237</v>
      </c>
      <c r="AS33" s="52">
        <v>46238</v>
      </c>
      <c r="AT33" s="52">
        <v>46239</v>
      </c>
      <c r="AU33" s="52">
        <v>46240</v>
      </c>
      <c r="AV33" s="53">
        <v>46241</v>
      </c>
      <c r="AW33" s="51">
        <v>46244</v>
      </c>
      <c r="AX33" s="52">
        <v>46245</v>
      </c>
      <c r="AY33" s="52">
        <v>46246</v>
      </c>
      <c r="AZ33" s="52">
        <v>46247</v>
      </c>
      <c r="BA33" s="53">
        <v>46248</v>
      </c>
      <c r="BB33" s="51">
        <v>46251</v>
      </c>
      <c r="BC33" s="52">
        <v>46252</v>
      </c>
      <c r="BD33" s="52">
        <v>46253</v>
      </c>
      <c r="BE33" s="52">
        <v>46254</v>
      </c>
      <c r="BF33" s="53">
        <v>46255</v>
      </c>
      <c r="BG33" s="51">
        <v>46258</v>
      </c>
      <c r="BH33" s="52">
        <v>46259</v>
      </c>
      <c r="BI33" s="52">
        <v>46260</v>
      </c>
      <c r="BJ33" s="52">
        <v>46261</v>
      </c>
      <c r="BK33" s="53">
        <v>46262</v>
      </c>
      <c r="BL33" s="51">
        <v>46265</v>
      </c>
      <c r="BM33" s="52">
        <v>46266</v>
      </c>
      <c r="BN33" s="52">
        <v>46267</v>
      </c>
      <c r="BO33" s="52">
        <v>46268</v>
      </c>
      <c r="BP33" s="53">
        <v>46269</v>
      </c>
      <c r="BQ33" s="51">
        <v>46272</v>
      </c>
      <c r="BR33" s="52">
        <v>46273</v>
      </c>
      <c r="BS33" s="52">
        <v>46274</v>
      </c>
      <c r="BT33" s="52">
        <v>46275</v>
      </c>
      <c r="BU33" s="53">
        <v>46276</v>
      </c>
      <c r="BV33" s="51">
        <v>46279</v>
      </c>
      <c r="BW33" s="52">
        <v>46280</v>
      </c>
      <c r="BX33" s="52">
        <v>46281</v>
      </c>
      <c r="BY33" s="52">
        <v>46282</v>
      </c>
      <c r="BZ33" s="53">
        <v>46283</v>
      </c>
      <c r="CA33" s="51">
        <v>46286</v>
      </c>
      <c r="CB33" s="52">
        <v>46287</v>
      </c>
      <c r="CC33" s="52">
        <v>46288</v>
      </c>
      <c r="CD33" s="52">
        <v>46289</v>
      </c>
      <c r="CE33" s="53">
        <v>46290</v>
      </c>
      <c r="CF33" s="51">
        <v>46293</v>
      </c>
      <c r="CG33" s="52">
        <v>46294</v>
      </c>
      <c r="CH33" s="52">
        <v>46295</v>
      </c>
      <c r="CI33" s="52">
        <v>46296</v>
      </c>
      <c r="CJ33" s="53">
        <v>46297</v>
      </c>
      <c r="CK33" s="51">
        <f t="shared" si="32"/>
        <v>46300</v>
      </c>
      <c r="CL33" s="52">
        <f t="shared" ref="CL33:CO33" si="426">CK33+1</f>
        <v>46301</v>
      </c>
      <c r="CM33" s="52">
        <f t="shared" si="426"/>
        <v>46302</v>
      </c>
      <c r="CN33" s="52">
        <f t="shared" si="426"/>
        <v>46303</v>
      </c>
      <c r="CO33" s="53">
        <f t="shared" si="426"/>
        <v>46304</v>
      </c>
      <c r="CP33" s="51">
        <f t="shared" si="61"/>
        <v>46307</v>
      </c>
      <c r="CQ33" s="52">
        <f t="shared" ref="CQ33:CT33" si="427">CP33+1</f>
        <v>46308</v>
      </c>
      <c r="CR33" s="52">
        <f t="shared" si="427"/>
        <v>46309</v>
      </c>
      <c r="CS33" s="52">
        <f t="shared" si="427"/>
        <v>46310</v>
      </c>
      <c r="CT33" s="53">
        <f t="shared" si="427"/>
        <v>46311</v>
      </c>
      <c r="CU33" s="51">
        <f t="shared" si="35"/>
        <v>46314</v>
      </c>
      <c r="CV33" s="52">
        <f t="shared" ref="CV33:CY33" si="428">CU33+1</f>
        <v>46315</v>
      </c>
      <c r="CW33" s="52">
        <f t="shared" si="428"/>
        <v>46316</v>
      </c>
      <c r="CX33" s="52">
        <f t="shared" si="428"/>
        <v>46317</v>
      </c>
      <c r="CY33" s="53">
        <f t="shared" si="428"/>
        <v>46318</v>
      </c>
      <c r="CZ33" s="51">
        <f t="shared" si="37"/>
        <v>46321</v>
      </c>
      <c r="DA33" s="52">
        <f t="shared" ref="DA33:DD33" si="429">CZ33+1</f>
        <v>46322</v>
      </c>
      <c r="DB33" s="52">
        <f t="shared" si="429"/>
        <v>46323</v>
      </c>
      <c r="DC33" s="52">
        <f t="shared" si="429"/>
        <v>46324</v>
      </c>
      <c r="DD33" s="53">
        <f t="shared" si="429"/>
        <v>46325</v>
      </c>
      <c r="DE33" s="51">
        <f t="shared" si="39"/>
        <v>46328</v>
      </c>
      <c r="DF33" s="52">
        <f t="shared" ref="DF33:DI33" si="430">DE33+1</f>
        <v>46329</v>
      </c>
      <c r="DG33" s="52">
        <f t="shared" si="430"/>
        <v>46330</v>
      </c>
      <c r="DH33" s="52">
        <f t="shared" si="430"/>
        <v>46331</v>
      </c>
      <c r="DI33" s="53">
        <f t="shared" si="430"/>
        <v>46332</v>
      </c>
      <c r="DJ33" s="51">
        <f t="shared" si="41"/>
        <v>46335</v>
      </c>
      <c r="DK33" s="52">
        <f t="shared" ref="DK33:DN33" si="431">DJ33+1</f>
        <v>46336</v>
      </c>
      <c r="DL33" s="52">
        <f t="shared" si="431"/>
        <v>46337</v>
      </c>
      <c r="DM33" s="52">
        <f t="shared" si="431"/>
        <v>46338</v>
      </c>
      <c r="DN33" s="53">
        <f t="shared" si="431"/>
        <v>46339</v>
      </c>
      <c r="DO33" s="51">
        <f t="shared" si="43"/>
        <v>46342</v>
      </c>
      <c r="DP33" s="52">
        <f t="shared" ref="DP33:DS33" si="432">DO33+1</f>
        <v>46343</v>
      </c>
      <c r="DQ33" s="52">
        <f t="shared" si="432"/>
        <v>46344</v>
      </c>
      <c r="DR33" s="52">
        <f t="shared" si="432"/>
        <v>46345</v>
      </c>
      <c r="DS33" s="53">
        <f t="shared" si="432"/>
        <v>46346</v>
      </c>
      <c r="DT33" s="51">
        <f t="shared" si="45"/>
        <v>46349</v>
      </c>
      <c r="DU33" s="52">
        <f t="shared" ref="DU33:DX33" si="433">DT33+1</f>
        <v>46350</v>
      </c>
      <c r="DV33" s="52">
        <f t="shared" si="433"/>
        <v>46351</v>
      </c>
      <c r="DW33" s="52">
        <f t="shared" si="433"/>
        <v>46352</v>
      </c>
      <c r="DX33" s="53">
        <f t="shared" si="433"/>
        <v>46353</v>
      </c>
      <c r="DY33" s="51">
        <f t="shared" si="47"/>
        <v>46356</v>
      </c>
      <c r="DZ33" s="52">
        <f t="shared" ref="DZ33:EC33" si="434">DY33+1</f>
        <v>46357</v>
      </c>
      <c r="EA33" s="52">
        <f t="shared" si="434"/>
        <v>46358</v>
      </c>
      <c r="EB33" s="52">
        <f t="shared" si="434"/>
        <v>46359</v>
      </c>
      <c r="EC33" s="53">
        <f t="shared" si="434"/>
        <v>46360</v>
      </c>
      <c r="ED33" s="51">
        <f t="shared" si="49"/>
        <v>46363</v>
      </c>
      <c r="EE33" s="52">
        <f t="shared" ref="EE33:EH33" si="435">ED33+1</f>
        <v>46364</v>
      </c>
      <c r="EF33" s="52">
        <f t="shared" si="435"/>
        <v>46365</v>
      </c>
      <c r="EG33" s="52">
        <f t="shared" si="435"/>
        <v>46366</v>
      </c>
      <c r="EH33" s="53">
        <f t="shared" si="435"/>
        <v>46367</v>
      </c>
      <c r="EI33" s="51">
        <f t="shared" si="51"/>
        <v>46370</v>
      </c>
      <c r="EJ33" s="52">
        <f t="shared" ref="EJ33:EM33" si="436">EI33+1</f>
        <v>46371</v>
      </c>
      <c r="EK33" s="52">
        <f t="shared" si="436"/>
        <v>46372</v>
      </c>
      <c r="EL33" s="52">
        <f t="shared" si="436"/>
        <v>46373</v>
      </c>
      <c r="EM33" s="53">
        <f t="shared" si="436"/>
        <v>46374</v>
      </c>
      <c r="EN33" s="51">
        <f t="shared" si="53"/>
        <v>46377</v>
      </c>
      <c r="EO33" s="52">
        <f t="shared" ref="EO33:ER33" si="437">EN33+1</f>
        <v>46378</v>
      </c>
      <c r="EP33" s="52">
        <f t="shared" si="437"/>
        <v>46379</v>
      </c>
      <c r="EQ33" s="52">
        <f t="shared" si="437"/>
        <v>46380</v>
      </c>
      <c r="ER33" s="53">
        <f t="shared" si="437"/>
        <v>46381</v>
      </c>
      <c r="ES33" s="51">
        <f t="shared" si="55"/>
        <v>46384</v>
      </c>
      <c r="ET33" s="52">
        <f t="shared" ref="ET33:EW33" si="438">ES33+1</f>
        <v>46385</v>
      </c>
      <c r="EU33" s="52">
        <f t="shared" si="438"/>
        <v>46386</v>
      </c>
      <c r="EV33" s="52">
        <f t="shared" si="438"/>
        <v>46387</v>
      </c>
      <c r="EW33" s="53">
        <f t="shared" si="438"/>
        <v>46388</v>
      </c>
      <c r="EX33" s="51">
        <f t="shared" si="57"/>
        <v>46391</v>
      </c>
      <c r="EY33" s="52">
        <f t="shared" si="58"/>
        <v>46392</v>
      </c>
      <c r="EZ33" s="52">
        <f t="shared" si="58"/>
        <v>46393</v>
      </c>
      <c r="FA33" s="52">
        <f t="shared" si="58"/>
        <v>46394</v>
      </c>
      <c r="FB33" s="53" t="e">
        <f t="shared" si="58"/>
        <v>#REF!</v>
      </c>
    </row>
    <row r="34" spans="1:158" ht="17.25" customHeight="1" outlineLevel="1">
      <c r="A34" s="26"/>
      <c r="B34" s="34"/>
      <c r="C34" s="35" t="s">
        <v>88</v>
      </c>
      <c r="D34" s="36"/>
      <c r="E34" s="37"/>
      <c r="F34" s="38"/>
      <c r="G34" s="59"/>
      <c r="H34" s="67"/>
      <c r="I34" s="67"/>
      <c r="J34" s="68"/>
      <c r="K34" s="69"/>
      <c r="L34" s="70"/>
      <c r="M34" s="39">
        <f>MIN(M35:M39)</f>
        <v>46265</v>
      </c>
      <c r="N34" s="40">
        <f>MAX(N35:N39)</f>
        <v>46303</v>
      </c>
      <c r="O34" s="13">
        <f>SUM(O35:O39)</f>
        <v>0.14568764568764569</v>
      </c>
      <c r="P34" s="24"/>
      <c r="Q34" s="24"/>
      <c r="R34" s="24"/>
      <c r="S34" s="51">
        <f t="shared" si="30"/>
        <v>46202</v>
      </c>
      <c r="T34" s="52">
        <f t="shared" ref="T34:W34" si="439">S34+1</f>
        <v>46203</v>
      </c>
      <c r="U34" s="52">
        <f t="shared" si="439"/>
        <v>46204</v>
      </c>
      <c r="V34" s="52">
        <f t="shared" si="439"/>
        <v>46205</v>
      </c>
      <c r="W34" s="53">
        <f t="shared" si="439"/>
        <v>46206</v>
      </c>
      <c r="X34" s="51">
        <v>46209</v>
      </c>
      <c r="Y34" s="52">
        <v>46210</v>
      </c>
      <c r="Z34" s="52">
        <v>46211</v>
      </c>
      <c r="AA34" s="52">
        <v>46212</v>
      </c>
      <c r="AB34" s="53">
        <v>46213</v>
      </c>
      <c r="AC34" s="51">
        <v>46216</v>
      </c>
      <c r="AD34" s="52">
        <v>46217</v>
      </c>
      <c r="AE34" s="52">
        <v>46218</v>
      </c>
      <c r="AF34" s="52">
        <v>46219</v>
      </c>
      <c r="AG34" s="53">
        <v>46220</v>
      </c>
      <c r="AH34" s="51">
        <v>46223</v>
      </c>
      <c r="AI34" s="52">
        <v>46224</v>
      </c>
      <c r="AJ34" s="52">
        <v>46225</v>
      </c>
      <c r="AK34" s="52">
        <v>46226</v>
      </c>
      <c r="AL34" s="53">
        <v>46227</v>
      </c>
      <c r="AM34" s="51">
        <v>46230</v>
      </c>
      <c r="AN34" s="52">
        <v>46231</v>
      </c>
      <c r="AO34" s="52">
        <v>46232</v>
      </c>
      <c r="AP34" s="52">
        <v>46233</v>
      </c>
      <c r="AQ34" s="53">
        <v>46234</v>
      </c>
      <c r="AR34" s="51">
        <v>46237</v>
      </c>
      <c r="AS34" s="52">
        <v>46238</v>
      </c>
      <c r="AT34" s="52">
        <v>46239</v>
      </c>
      <c r="AU34" s="52">
        <v>46240</v>
      </c>
      <c r="AV34" s="53">
        <v>46241</v>
      </c>
      <c r="AW34" s="51">
        <v>46244</v>
      </c>
      <c r="AX34" s="52">
        <v>46245</v>
      </c>
      <c r="AY34" s="52">
        <v>46246</v>
      </c>
      <c r="AZ34" s="52">
        <v>46247</v>
      </c>
      <c r="BA34" s="53">
        <v>46248</v>
      </c>
      <c r="BB34" s="51">
        <v>46251</v>
      </c>
      <c r="BC34" s="52">
        <v>46252</v>
      </c>
      <c r="BD34" s="52">
        <v>46253</v>
      </c>
      <c r="BE34" s="52">
        <v>46254</v>
      </c>
      <c r="BF34" s="53">
        <v>46255</v>
      </c>
      <c r="BG34" s="51">
        <v>46258</v>
      </c>
      <c r="BH34" s="52">
        <v>46259</v>
      </c>
      <c r="BI34" s="52">
        <v>46260</v>
      </c>
      <c r="BJ34" s="52">
        <v>46261</v>
      </c>
      <c r="BK34" s="53">
        <v>46262</v>
      </c>
      <c r="BL34" s="51">
        <v>46265</v>
      </c>
      <c r="BM34" s="52">
        <v>46266</v>
      </c>
      <c r="BN34" s="52">
        <v>46267</v>
      </c>
      <c r="BO34" s="52">
        <v>46268</v>
      </c>
      <c r="BP34" s="53">
        <v>46269</v>
      </c>
      <c r="BQ34" s="51">
        <v>46272</v>
      </c>
      <c r="BR34" s="52">
        <v>46273</v>
      </c>
      <c r="BS34" s="52">
        <v>46274</v>
      </c>
      <c r="BT34" s="52">
        <v>46275</v>
      </c>
      <c r="BU34" s="53">
        <v>46276</v>
      </c>
      <c r="BV34" s="51">
        <v>46279</v>
      </c>
      <c r="BW34" s="52">
        <v>46280</v>
      </c>
      <c r="BX34" s="52">
        <v>46281</v>
      </c>
      <c r="BY34" s="52">
        <v>46282</v>
      </c>
      <c r="BZ34" s="53">
        <v>46283</v>
      </c>
      <c r="CA34" s="51">
        <v>46286</v>
      </c>
      <c r="CB34" s="52">
        <v>46287</v>
      </c>
      <c r="CC34" s="52">
        <v>46288</v>
      </c>
      <c r="CD34" s="52">
        <v>46289</v>
      </c>
      <c r="CE34" s="53">
        <v>46290</v>
      </c>
      <c r="CF34" s="51">
        <v>46293</v>
      </c>
      <c r="CG34" s="52">
        <v>46294</v>
      </c>
      <c r="CH34" s="52">
        <v>46295</v>
      </c>
      <c r="CI34" s="52">
        <v>46296</v>
      </c>
      <c r="CJ34" s="53">
        <v>46297</v>
      </c>
      <c r="CK34" s="51">
        <f t="shared" si="32"/>
        <v>46300</v>
      </c>
      <c r="CL34" s="52">
        <f t="shared" ref="CL34:CO34" si="440">CK34+1</f>
        <v>46301</v>
      </c>
      <c r="CM34" s="52">
        <f t="shared" si="440"/>
        <v>46302</v>
      </c>
      <c r="CN34" s="52">
        <f t="shared" si="440"/>
        <v>46303</v>
      </c>
      <c r="CO34" s="53">
        <f t="shared" si="440"/>
        <v>46304</v>
      </c>
      <c r="CP34" s="51">
        <f t="shared" si="61"/>
        <v>46307</v>
      </c>
      <c r="CQ34" s="52">
        <f t="shared" ref="CQ34:CT34" si="441">CP34+1</f>
        <v>46308</v>
      </c>
      <c r="CR34" s="52">
        <f t="shared" si="441"/>
        <v>46309</v>
      </c>
      <c r="CS34" s="52">
        <f t="shared" si="441"/>
        <v>46310</v>
      </c>
      <c r="CT34" s="53">
        <f t="shared" si="441"/>
        <v>46311</v>
      </c>
      <c r="CU34" s="51">
        <f t="shared" si="35"/>
        <v>46314</v>
      </c>
      <c r="CV34" s="52">
        <f t="shared" ref="CV34:CY34" si="442">CU34+1</f>
        <v>46315</v>
      </c>
      <c r="CW34" s="52">
        <f t="shared" si="442"/>
        <v>46316</v>
      </c>
      <c r="CX34" s="52">
        <f t="shared" si="442"/>
        <v>46317</v>
      </c>
      <c r="CY34" s="53">
        <f t="shared" si="442"/>
        <v>46318</v>
      </c>
      <c r="CZ34" s="51">
        <f t="shared" si="37"/>
        <v>46321</v>
      </c>
      <c r="DA34" s="52">
        <f t="shared" ref="DA34:DD34" si="443">CZ34+1</f>
        <v>46322</v>
      </c>
      <c r="DB34" s="52">
        <f t="shared" si="443"/>
        <v>46323</v>
      </c>
      <c r="DC34" s="52">
        <f t="shared" si="443"/>
        <v>46324</v>
      </c>
      <c r="DD34" s="53">
        <f t="shared" si="443"/>
        <v>46325</v>
      </c>
      <c r="DE34" s="51">
        <f t="shared" si="39"/>
        <v>46328</v>
      </c>
      <c r="DF34" s="52">
        <f t="shared" ref="DF34:DI34" si="444">DE34+1</f>
        <v>46329</v>
      </c>
      <c r="DG34" s="52">
        <f t="shared" si="444"/>
        <v>46330</v>
      </c>
      <c r="DH34" s="52">
        <f t="shared" si="444"/>
        <v>46331</v>
      </c>
      <c r="DI34" s="53">
        <f t="shared" si="444"/>
        <v>46332</v>
      </c>
      <c r="DJ34" s="51">
        <f t="shared" si="41"/>
        <v>46335</v>
      </c>
      <c r="DK34" s="52">
        <f t="shared" ref="DK34:DN34" si="445">DJ34+1</f>
        <v>46336</v>
      </c>
      <c r="DL34" s="52">
        <f t="shared" si="445"/>
        <v>46337</v>
      </c>
      <c r="DM34" s="52">
        <f t="shared" si="445"/>
        <v>46338</v>
      </c>
      <c r="DN34" s="53">
        <f t="shared" si="445"/>
        <v>46339</v>
      </c>
      <c r="DO34" s="51">
        <f t="shared" si="43"/>
        <v>46342</v>
      </c>
      <c r="DP34" s="52">
        <f t="shared" ref="DP34:DS34" si="446">DO34+1</f>
        <v>46343</v>
      </c>
      <c r="DQ34" s="52">
        <f t="shared" si="446"/>
        <v>46344</v>
      </c>
      <c r="DR34" s="52">
        <f t="shared" si="446"/>
        <v>46345</v>
      </c>
      <c r="DS34" s="53">
        <f t="shared" si="446"/>
        <v>46346</v>
      </c>
      <c r="DT34" s="51">
        <f t="shared" si="45"/>
        <v>46349</v>
      </c>
      <c r="DU34" s="52">
        <f t="shared" ref="DU34:DX34" si="447">DT34+1</f>
        <v>46350</v>
      </c>
      <c r="DV34" s="52">
        <f t="shared" si="447"/>
        <v>46351</v>
      </c>
      <c r="DW34" s="52">
        <f t="shared" si="447"/>
        <v>46352</v>
      </c>
      <c r="DX34" s="53">
        <f t="shared" si="447"/>
        <v>46353</v>
      </c>
      <c r="DY34" s="51">
        <f t="shared" si="47"/>
        <v>46356</v>
      </c>
      <c r="DZ34" s="52">
        <f t="shared" ref="DZ34:EC34" si="448">DY34+1</f>
        <v>46357</v>
      </c>
      <c r="EA34" s="52">
        <f t="shared" si="448"/>
        <v>46358</v>
      </c>
      <c r="EB34" s="52">
        <f t="shared" si="448"/>
        <v>46359</v>
      </c>
      <c r="EC34" s="53">
        <f t="shared" si="448"/>
        <v>46360</v>
      </c>
      <c r="ED34" s="51">
        <f t="shared" si="49"/>
        <v>46363</v>
      </c>
      <c r="EE34" s="52">
        <f t="shared" ref="EE34:EH34" si="449">ED34+1</f>
        <v>46364</v>
      </c>
      <c r="EF34" s="52">
        <f t="shared" si="449"/>
        <v>46365</v>
      </c>
      <c r="EG34" s="52">
        <f t="shared" si="449"/>
        <v>46366</v>
      </c>
      <c r="EH34" s="53">
        <f t="shared" si="449"/>
        <v>46367</v>
      </c>
      <c r="EI34" s="51">
        <f t="shared" si="51"/>
        <v>46370</v>
      </c>
      <c r="EJ34" s="52">
        <f t="shared" ref="EJ34:EM34" si="450">EI34+1</f>
        <v>46371</v>
      </c>
      <c r="EK34" s="52">
        <f t="shared" si="450"/>
        <v>46372</v>
      </c>
      <c r="EL34" s="52">
        <f t="shared" si="450"/>
        <v>46373</v>
      </c>
      <c r="EM34" s="53">
        <f t="shared" si="450"/>
        <v>46374</v>
      </c>
      <c r="EN34" s="51">
        <f t="shared" si="53"/>
        <v>46377</v>
      </c>
      <c r="EO34" s="52">
        <f t="shared" ref="EO34:ER34" si="451">EN34+1</f>
        <v>46378</v>
      </c>
      <c r="EP34" s="52">
        <f t="shared" si="451"/>
        <v>46379</v>
      </c>
      <c r="EQ34" s="52">
        <f t="shared" si="451"/>
        <v>46380</v>
      </c>
      <c r="ER34" s="53">
        <f t="shared" si="451"/>
        <v>46381</v>
      </c>
      <c r="ES34" s="51">
        <f t="shared" si="55"/>
        <v>46384</v>
      </c>
      <c r="ET34" s="52">
        <f t="shared" ref="ET34:EW34" si="452">ES34+1</f>
        <v>46385</v>
      </c>
      <c r="EU34" s="52">
        <f t="shared" si="452"/>
        <v>46386</v>
      </c>
      <c r="EV34" s="52">
        <f t="shared" si="452"/>
        <v>46387</v>
      </c>
      <c r="EW34" s="53">
        <f t="shared" si="452"/>
        <v>46388</v>
      </c>
      <c r="EX34" s="51">
        <f t="shared" si="57"/>
        <v>46391</v>
      </c>
      <c r="EY34" s="52" t="e">
        <f>#REF!+1</f>
        <v>#REF!</v>
      </c>
      <c r="EZ34" s="52" t="e">
        <f>#REF!+1</f>
        <v>#REF!</v>
      </c>
      <c r="FA34" s="52" t="e">
        <f>#REF!+1</f>
        <v>#REF!</v>
      </c>
      <c r="FB34" s="53" t="e">
        <f>#REF!+1</f>
        <v>#REF!</v>
      </c>
    </row>
    <row r="35" spans="1:158" ht="18" customHeight="1" outlineLevel="2">
      <c r="A35" s="26"/>
      <c r="B35" s="34"/>
      <c r="C35" s="34"/>
      <c r="D35" s="41" t="s">
        <v>89</v>
      </c>
      <c r="E35" s="42"/>
      <c r="F35" s="43"/>
      <c r="G35" s="60"/>
      <c r="H35" s="71" t="s">
        <v>18</v>
      </c>
      <c r="I35" s="71" t="s">
        <v>18</v>
      </c>
      <c r="J35" s="72" t="s">
        <v>18</v>
      </c>
      <c r="K35" s="73"/>
      <c r="L35" s="74" t="s">
        <v>118</v>
      </c>
      <c r="M35" s="46">
        <v>46265</v>
      </c>
      <c r="N35" s="47">
        <v>46269</v>
      </c>
      <c r="O35" s="48">
        <f>5/132/1.3</f>
        <v>2.9137529137529136E-2</v>
      </c>
      <c r="P35" s="48"/>
      <c r="Q35" s="49"/>
      <c r="R35" s="48"/>
      <c r="S35" s="51">
        <f t="shared" si="30"/>
        <v>46202</v>
      </c>
      <c r="T35" s="52">
        <f t="shared" ref="T35:W38" si="453">S35+1</f>
        <v>46203</v>
      </c>
      <c r="U35" s="52">
        <f t="shared" si="453"/>
        <v>46204</v>
      </c>
      <c r="V35" s="52">
        <f t="shared" si="453"/>
        <v>46205</v>
      </c>
      <c r="W35" s="53">
        <f t="shared" si="453"/>
        <v>46206</v>
      </c>
      <c r="X35" s="51">
        <v>46209</v>
      </c>
      <c r="Y35" s="52">
        <v>46210</v>
      </c>
      <c r="Z35" s="52">
        <v>46211</v>
      </c>
      <c r="AA35" s="52">
        <v>46212</v>
      </c>
      <c r="AB35" s="53">
        <v>46213</v>
      </c>
      <c r="AC35" s="51">
        <v>46216</v>
      </c>
      <c r="AD35" s="52">
        <v>46217</v>
      </c>
      <c r="AE35" s="52">
        <v>46218</v>
      </c>
      <c r="AF35" s="52">
        <v>46219</v>
      </c>
      <c r="AG35" s="53">
        <v>46220</v>
      </c>
      <c r="AH35" s="51">
        <v>46223</v>
      </c>
      <c r="AI35" s="52">
        <v>46224</v>
      </c>
      <c r="AJ35" s="52">
        <v>46225</v>
      </c>
      <c r="AK35" s="52">
        <v>46226</v>
      </c>
      <c r="AL35" s="53">
        <v>46227</v>
      </c>
      <c r="AM35" s="51">
        <v>46230</v>
      </c>
      <c r="AN35" s="52">
        <v>46231</v>
      </c>
      <c r="AO35" s="52">
        <v>46232</v>
      </c>
      <c r="AP35" s="52">
        <v>46233</v>
      </c>
      <c r="AQ35" s="53">
        <v>46234</v>
      </c>
      <c r="AR35" s="51">
        <v>46237</v>
      </c>
      <c r="AS35" s="52">
        <v>46238</v>
      </c>
      <c r="AT35" s="52">
        <v>46239</v>
      </c>
      <c r="AU35" s="52">
        <v>46240</v>
      </c>
      <c r="AV35" s="53">
        <v>46241</v>
      </c>
      <c r="AW35" s="51">
        <v>46244</v>
      </c>
      <c r="AX35" s="52">
        <v>46245</v>
      </c>
      <c r="AY35" s="52">
        <v>46246</v>
      </c>
      <c r="AZ35" s="52">
        <v>46247</v>
      </c>
      <c r="BA35" s="53">
        <v>46248</v>
      </c>
      <c r="BB35" s="51">
        <v>46251</v>
      </c>
      <c r="BC35" s="52">
        <v>46252</v>
      </c>
      <c r="BD35" s="52">
        <v>46253</v>
      </c>
      <c r="BE35" s="52">
        <v>46254</v>
      </c>
      <c r="BF35" s="53">
        <v>46255</v>
      </c>
      <c r="BG35" s="51">
        <v>46258</v>
      </c>
      <c r="BH35" s="52">
        <v>46259</v>
      </c>
      <c r="BI35" s="52">
        <v>46260</v>
      </c>
      <c r="BJ35" s="52">
        <v>46261</v>
      </c>
      <c r="BK35" s="53">
        <v>46262</v>
      </c>
      <c r="BL35" s="51">
        <v>46265</v>
      </c>
      <c r="BM35" s="52">
        <v>46266</v>
      </c>
      <c r="BN35" s="52">
        <v>46267</v>
      </c>
      <c r="BO35" s="52">
        <v>46268</v>
      </c>
      <c r="BP35" s="53">
        <v>46269</v>
      </c>
      <c r="BQ35" s="51">
        <v>46272</v>
      </c>
      <c r="BR35" s="52">
        <v>46273</v>
      </c>
      <c r="BS35" s="52">
        <v>46274</v>
      </c>
      <c r="BT35" s="52">
        <v>46275</v>
      </c>
      <c r="BU35" s="53">
        <v>46276</v>
      </c>
      <c r="BV35" s="51">
        <v>46279</v>
      </c>
      <c r="BW35" s="52">
        <v>46280</v>
      </c>
      <c r="BX35" s="52">
        <v>46281</v>
      </c>
      <c r="BY35" s="52">
        <v>46282</v>
      </c>
      <c r="BZ35" s="53">
        <v>46283</v>
      </c>
      <c r="CA35" s="51">
        <v>46286</v>
      </c>
      <c r="CB35" s="52">
        <v>46287</v>
      </c>
      <c r="CC35" s="52">
        <v>46288</v>
      </c>
      <c r="CD35" s="52">
        <v>46289</v>
      </c>
      <c r="CE35" s="53">
        <v>46290</v>
      </c>
      <c r="CF35" s="51">
        <v>46293</v>
      </c>
      <c r="CG35" s="52">
        <v>46294</v>
      </c>
      <c r="CH35" s="52">
        <v>46295</v>
      </c>
      <c r="CI35" s="52">
        <v>46296</v>
      </c>
      <c r="CJ35" s="53">
        <v>46297</v>
      </c>
      <c r="CK35" s="51">
        <f t="shared" si="32"/>
        <v>46300</v>
      </c>
      <c r="CL35" s="52">
        <f t="shared" ref="CL35:CO38" si="454">CK35+1</f>
        <v>46301</v>
      </c>
      <c r="CM35" s="52">
        <f t="shared" si="454"/>
        <v>46302</v>
      </c>
      <c r="CN35" s="52">
        <f t="shared" si="454"/>
        <v>46303</v>
      </c>
      <c r="CO35" s="53">
        <f t="shared" si="454"/>
        <v>46304</v>
      </c>
      <c r="CP35" s="51">
        <f t="shared" si="61"/>
        <v>46307</v>
      </c>
      <c r="CQ35" s="52">
        <f t="shared" ref="CQ35:CT38" si="455">CP35+1</f>
        <v>46308</v>
      </c>
      <c r="CR35" s="52">
        <f t="shared" si="455"/>
        <v>46309</v>
      </c>
      <c r="CS35" s="52">
        <f t="shared" si="455"/>
        <v>46310</v>
      </c>
      <c r="CT35" s="53">
        <f t="shared" si="455"/>
        <v>46311</v>
      </c>
      <c r="CU35" s="51">
        <f t="shared" si="35"/>
        <v>46314</v>
      </c>
      <c r="CV35" s="52">
        <f t="shared" ref="CV35:CY38" si="456">CU35+1</f>
        <v>46315</v>
      </c>
      <c r="CW35" s="52">
        <f t="shared" si="456"/>
        <v>46316</v>
      </c>
      <c r="CX35" s="52">
        <f t="shared" si="456"/>
        <v>46317</v>
      </c>
      <c r="CY35" s="53">
        <f t="shared" si="456"/>
        <v>46318</v>
      </c>
      <c r="CZ35" s="51">
        <f t="shared" si="37"/>
        <v>46321</v>
      </c>
      <c r="DA35" s="52">
        <f t="shared" ref="DA35:DD38" si="457">CZ35+1</f>
        <v>46322</v>
      </c>
      <c r="DB35" s="52">
        <f t="shared" si="457"/>
        <v>46323</v>
      </c>
      <c r="DC35" s="52">
        <f t="shared" si="457"/>
        <v>46324</v>
      </c>
      <c r="DD35" s="53">
        <f t="shared" si="457"/>
        <v>46325</v>
      </c>
      <c r="DE35" s="51">
        <f t="shared" si="39"/>
        <v>46328</v>
      </c>
      <c r="DF35" s="52">
        <f t="shared" ref="DF35:DI38" si="458">DE35+1</f>
        <v>46329</v>
      </c>
      <c r="DG35" s="52">
        <f t="shared" si="458"/>
        <v>46330</v>
      </c>
      <c r="DH35" s="52">
        <f t="shared" si="458"/>
        <v>46331</v>
      </c>
      <c r="DI35" s="53">
        <f t="shared" si="458"/>
        <v>46332</v>
      </c>
      <c r="DJ35" s="51">
        <f t="shared" si="41"/>
        <v>46335</v>
      </c>
      <c r="DK35" s="52">
        <f t="shared" ref="DK35:DN38" si="459">DJ35+1</f>
        <v>46336</v>
      </c>
      <c r="DL35" s="52">
        <f t="shared" si="459"/>
        <v>46337</v>
      </c>
      <c r="DM35" s="52">
        <f t="shared" si="459"/>
        <v>46338</v>
      </c>
      <c r="DN35" s="53">
        <f t="shared" si="459"/>
        <v>46339</v>
      </c>
      <c r="DO35" s="51">
        <f t="shared" si="43"/>
        <v>46342</v>
      </c>
      <c r="DP35" s="52">
        <f t="shared" ref="DP35:DS38" si="460">DO35+1</f>
        <v>46343</v>
      </c>
      <c r="DQ35" s="52">
        <f t="shared" si="460"/>
        <v>46344</v>
      </c>
      <c r="DR35" s="52">
        <f t="shared" si="460"/>
        <v>46345</v>
      </c>
      <c r="DS35" s="53">
        <f t="shared" si="460"/>
        <v>46346</v>
      </c>
      <c r="DT35" s="51">
        <f t="shared" si="45"/>
        <v>46349</v>
      </c>
      <c r="DU35" s="52">
        <f t="shared" ref="DU35:DX38" si="461">DT35+1</f>
        <v>46350</v>
      </c>
      <c r="DV35" s="52">
        <f t="shared" si="461"/>
        <v>46351</v>
      </c>
      <c r="DW35" s="52">
        <f t="shared" si="461"/>
        <v>46352</v>
      </c>
      <c r="DX35" s="53">
        <f t="shared" si="461"/>
        <v>46353</v>
      </c>
      <c r="DY35" s="51">
        <f t="shared" si="47"/>
        <v>46356</v>
      </c>
      <c r="DZ35" s="52">
        <f t="shared" ref="DZ35:EC38" si="462">DY35+1</f>
        <v>46357</v>
      </c>
      <c r="EA35" s="52">
        <f t="shared" si="462"/>
        <v>46358</v>
      </c>
      <c r="EB35" s="52">
        <f t="shared" si="462"/>
        <v>46359</v>
      </c>
      <c r="EC35" s="53">
        <f t="shared" si="462"/>
        <v>46360</v>
      </c>
      <c r="ED35" s="51">
        <f t="shared" si="49"/>
        <v>46363</v>
      </c>
      <c r="EE35" s="52">
        <f t="shared" ref="EE35:EH38" si="463">ED35+1</f>
        <v>46364</v>
      </c>
      <c r="EF35" s="52">
        <f t="shared" si="463"/>
        <v>46365</v>
      </c>
      <c r="EG35" s="52">
        <f t="shared" si="463"/>
        <v>46366</v>
      </c>
      <c r="EH35" s="53">
        <f t="shared" si="463"/>
        <v>46367</v>
      </c>
      <c r="EI35" s="51">
        <f t="shared" si="51"/>
        <v>46370</v>
      </c>
      <c r="EJ35" s="52">
        <f t="shared" ref="EJ35:EM38" si="464">EI35+1</f>
        <v>46371</v>
      </c>
      <c r="EK35" s="52">
        <f t="shared" si="464"/>
        <v>46372</v>
      </c>
      <c r="EL35" s="52">
        <f t="shared" si="464"/>
        <v>46373</v>
      </c>
      <c r="EM35" s="53">
        <f t="shared" si="464"/>
        <v>46374</v>
      </c>
      <c r="EN35" s="51">
        <f t="shared" si="53"/>
        <v>46377</v>
      </c>
      <c r="EO35" s="52">
        <f t="shared" ref="EO35:ER38" si="465">EN35+1</f>
        <v>46378</v>
      </c>
      <c r="EP35" s="52">
        <f t="shared" si="465"/>
        <v>46379</v>
      </c>
      <c r="EQ35" s="52">
        <f t="shared" si="465"/>
        <v>46380</v>
      </c>
      <c r="ER35" s="53">
        <f t="shared" si="465"/>
        <v>46381</v>
      </c>
      <c r="ES35" s="51">
        <f t="shared" si="55"/>
        <v>46384</v>
      </c>
      <c r="ET35" s="52">
        <f t="shared" ref="ET35:EW38" si="466">ES35+1</f>
        <v>46385</v>
      </c>
      <c r="EU35" s="52">
        <f t="shared" si="466"/>
        <v>46386</v>
      </c>
      <c r="EV35" s="52">
        <f t="shared" si="466"/>
        <v>46387</v>
      </c>
      <c r="EW35" s="53">
        <f t="shared" si="466"/>
        <v>46388</v>
      </c>
      <c r="EX35" s="51">
        <f t="shared" si="57"/>
        <v>46391</v>
      </c>
      <c r="EY35" s="52">
        <f t="shared" si="58"/>
        <v>46392</v>
      </c>
      <c r="EZ35" s="52" t="e">
        <f t="shared" si="58"/>
        <v>#REF!</v>
      </c>
      <c r="FA35" s="52" t="e">
        <f t="shared" si="58"/>
        <v>#REF!</v>
      </c>
      <c r="FB35" s="53" t="e">
        <f t="shared" si="58"/>
        <v>#REF!</v>
      </c>
    </row>
    <row r="36" spans="1:158" ht="18" customHeight="1" outlineLevel="2">
      <c r="A36" s="26"/>
      <c r="B36" s="34"/>
      <c r="C36" s="34"/>
      <c r="D36" s="41" t="s">
        <v>90</v>
      </c>
      <c r="E36" s="42"/>
      <c r="F36" s="43"/>
      <c r="G36" s="60"/>
      <c r="H36" s="71" t="s">
        <v>18</v>
      </c>
      <c r="I36" s="71" t="s">
        <v>18</v>
      </c>
      <c r="J36" s="72" t="s">
        <v>18</v>
      </c>
      <c r="K36" s="73"/>
      <c r="L36" s="74" t="s">
        <v>24</v>
      </c>
      <c r="M36" s="46">
        <v>46272</v>
      </c>
      <c r="N36" s="47">
        <v>46276</v>
      </c>
      <c r="O36" s="48">
        <f>5/132/1.3</f>
        <v>2.9137529137529136E-2</v>
      </c>
      <c r="P36" s="48"/>
      <c r="Q36" s="49"/>
      <c r="R36" s="48"/>
      <c r="S36" s="51">
        <f t="shared" si="30"/>
        <v>46202</v>
      </c>
      <c r="T36" s="52">
        <f t="shared" si="453"/>
        <v>46203</v>
      </c>
      <c r="U36" s="52">
        <f t="shared" si="453"/>
        <v>46204</v>
      </c>
      <c r="V36" s="52">
        <f t="shared" si="453"/>
        <v>46205</v>
      </c>
      <c r="W36" s="53">
        <f t="shared" si="453"/>
        <v>46206</v>
      </c>
      <c r="X36" s="51">
        <v>46209</v>
      </c>
      <c r="Y36" s="52">
        <v>46210</v>
      </c>
      <c r="Z36" s="52">
        <v>46211</v>
      </c>
      <c r="AA36" s="52">
        <v>46212</v>
      </c>
      <c r="AB36" s="53">
        <v>46213</v>
      </c>
      <c r="AC36" s="51">
        <v>46216</v>
      </c>
      <c r="AD36" s="52">
        <v>46217</v>
      </c>
      <c r="AE36" s="52">
        <v>46218</v>
      </c>
      <c r="AF36" s="52">
        <v>46219</v>
      </c>
      <c r="AG36" s="53">
        <v>46220</v>
      </c>
      <c r="AH36" s="51">
        <v>46223</v>
      </c>
      <c r="AI36" s="52">
        <v>46224</v>
      </c>
      <c r="AJ36" s="52">
        <v>46225</v>
      </c>
      <c r="AK36" s="52">
        <v>46226</v>
      </c>
      <c r="AL36" s="53">
        <v>46227</v>
      </c>
      <c r="AM36" s="51">
        <v>46230</v>
      </c>
      <c r="AN36" s="52">
        <v>46231</v>
      </c>
      <c r="AO36" s="52">
        <v>46232</v>
      </c>
      <c r="AP36" s="52">
        <v>46233</v>
      </c>
      <c r="AQ36" s="53">
        <v>46234</v>
      </c>
      <c r="AR36" s="51">
        <v>46237</v>
      </c>
      <c r="AS36" s="52">
        <v>46238</v>
      </c>
      <c r="AT36" s="52">
        <v>46239</v>
      </c>
      <c r="AU36" s="52">
        <v>46240</v>
      </c>
      <c r="AV36" s="53">
        <v>46241</v>
      </c>
      <c r="AW36" s="51">
        <v>46244</v>
      </c>
      <c r="AX36" s="52">
        <v>46245</v>
      </c>
      <c r="AY36" s="52">
        <v>46246</v>
      </c>
      <c r="AZ36" s="52">
        <v>46247</v>
      </c>
      <c r="BA36" s="53">
        <v>46248</v>
      </c>
      <c r="BB36" s="51">
        <v>46251</v>
      </c>
      <c r="BC36" s="52">
        <v>46252</v>
      </c>
      <c r="BD36" s="52">
        <v>46253</v>
      </c>
      <c r="BE36" s="52">
        <v>46254</v>
      </c>
      <c r="BF36" s="53">
        <v>46255</v>
      </c>
      <c r="BG36" s="51">
        <v>46258</v>
      </c>
      <c r="BH36" s="52">
        <v>46259</v>
      </c>
      <c r="BI36" s="52">
        <v>46260</v>
      </c>
      <c r="BJ36" s="52">
        <v>46261</v>
      </c>
      <c r="BK36" s="53">
        <v>46262</v>
      </c>
      <c r="BL36" s="51">
        <v>46265</v>
      </c>
      <c r="BM36" s="52">
        <v>46266</v>
      </c>
      <c r="BN36" s="52">
        <v>46267</v>
      </c>
      <c r="BO36" s="52">
        <v>46268</v>
      </c>
      <c r="BP36" s="53">
        <v>46269</v>
      </c>
      <c r="BQ36" s="51">
        <v>46272</v>
      </c>
      <c r="BR36" s="52">
        <v>46273</v>
      </c>
      <c r="BS36" s="52">
        <v>46274</v>
      </c>
      <c r="BT36" s="52">
        <v>46275</v>
      </c>
      <c r="BU36" s="53">
        <v>46276</v>
      </c>
      <c r="BV36" s="51">
        <v>46279</v>
      </c>
      <c r="BW36" s="52">
        <v>46280</v>
      </c>
      <c r="BX36" s="52">
        <v>46281</v>
      </c>
      <c r="BY36" s="52">
        <v>46282</v>
      </c>
      <c r="BZ36" s="53">
        <v>46283</v>
      </c>
      <c r="CA36" s="51">
        <v>46286</v>
      </c>
      <c r="CB36" s="52">
        <v>46287</v>
      </c>
      <c r="CC36" s="52">
        <v>46288</v>
      </c>
      <c r="CD36" s="52">
        <v>46289</v>
      </c>
      <c r="CE36" s="53">
        <v>46290</v>
      </c>
      <c r="CF36" s="51">
        <v>46293</v>
      </c>
      <c r="CG36" s="52">
        <v>46294</v>
      </c>
      <c r="CH36" s="52">
        <v>46295</v>
      </c>
      <c r="CI36" s="52">
        <v>46296</v>
      </c>
      <c r="CJ36" s="53">
        <v>46297</v>
      </c>
      <c r="CK36" s="51">
        <f t="shared" si="32"/>
        <v>46300</v>
      </c>
      <c r="CL36" s="52">
        <f t="shared" si="454"/>
        <v>46301</v>
      </c>
      <c r="CM36" s="52">
        <f t="shared" si="454"/>
        <v>46302</v>
      </c>
      <c r="CN36" s="52">
        <f t="shared" si="454"/>
        <v>46303</v>
      </c>
      <c r="CO36" s="53">
        <f t="shared" si="454"/>
        <v>46304</v>
      </c>
      <c r="CP36" s="51">
        <f t="shared" si="61"/>
        <v>46307</v>
      </c>
      <c r="CQ36" s="52">
        <f t="shared" si="455"/>
        <v>46308</v>
      </c>
      <c r="CR36" s="52">
        <f t="shared" si="455"/>
        <v>46309</v>
      </c>
      <c r="CS36" s="52">
        <f t="shared" si="455"/>
        <v>46310</v>
      </c>
      <c r="CT36" s="53">
        <f t="shared" si="455"/>
        <v>46311</v>
      </c>
      <c r="CU36" s="51">
        <f t="shared" si="35"/>
        <v>46314</v>
      </c>
      <c r="CV36" s="52">
        <f t="shared" si="456"/>
        <v>46315</v>
      </c>
      <c r="CW36" s="52">
        <f t="shared" si="456"/>
        <v>46316</v>
      </c>
      <c r="CX36" s="52">
        <f t="shared" si="456"/>
        <v>46317</v>
      </c>
      <c r="CY36" s="53">
        <f t="shared" si="456"/>
        <v>46318</v>
      </c>
      <c r="CZ36" s="51">
        <f t="shared" si="37"/>
        <v>46321</v>
      </c>
      <c r="DA36" s="52">
        <f t="shared" si="457"/>
        <v>46322</v>
      </c>
      <c r="DB36" s="52">
        <f t="shared" si="457"/>
        <v>46323</v>
      </c>
      <c r="DC36" s="52">
        <f t="shared" si="457"/>
        <v>46324</v>
      </c>
      <c r="DD36" s="53">
        <f t="shared" si="457"/>
        <v>46325</v>
      </c>
      <c r="DE36" s="51">
        <f t="shared" si="39"/>
        <v>46328</v>
      </c>
      <c r="DF36" s="52">
        <f t="shared" si="458"/>
        <v>46329</v>
      </c>
      <c r="DG36" s="52">
        <f t="shared" si="458"/>
        <v>46330</v>
      </c>
      <c r="DH36" s="52">
        <f t="shared" si="458"/>
        <v>46331</v>
      </c>
      <c r="DI36" s="53">
        <f t="shared" si="458"/>
        <v>46332</v>
      </c>
      <c r="DJ36" s="51">
        <f t="shared" si="41"/>
        <v>46335</v>
      </c>
      <c r="DK36" s="52">
        <f t="shared" si="459"/>
        <v>46336</v>
      </c>
      <c r="DL36" s="52">
        <f t="shared" si="459"/>
        <v>46337</v>
      </c>
      <c r="DM36" s="52">
        <f t="shared" si="459"/>
        <v>46338</v>
      </c>
      <c r="DN36" s="53">
        <f t="shared" si="459"/>
        <v>46339</v>
      </c>
      <c r="DO36" s="51">
        <f t="shared" si="43"/>
        <v>46342</v>
      </c>
      <c r="DP36" s="52">
        <f t="shared" si="460"/>
        <v>46343</v>
      </c>
      <c r="DQ36" s="52">
        <f t="shared" si="460"/>
        <v>46344</v>
      </c>
      <c r="DR36" s="52">
        <f t="shared" si="460"/>
        <v>46345</v>
      </c>
      <c r="DS36" s="53">
        <f t="shared" si="460"/>
        <v>46346</v>
      </c>
      <c r="DT36" s="51">
        <f t="shared" si="45"/>
        <v>46349</v>
      </c>
      <c r="DU36" s="52">
        <f t="shared" si="461"/>
        <v>46350</v>
      </c>
      <c r="DV36" s="52">
        <f t="shared" si="461"/>
        <v>46351</v>
      </c>
      <c r="DW36" s="52">
        <f t="shared" si="461"/>
        <v>46352</v>
      </c>
      <c r="DX36" s="53">
        <f t="shared" si="461"/>
        <v>46353</v>
      </c>
      <c r="DY36" s="51">
        <f t="shared" si="47"/>
        <v>46356</v>
      </c>
      <c r="DZ36" s="52">
        <f t="shared" si="462"/>
        <v>46357</v>
      </c>
      <c r="EA36" s="52">
        <f t="shared" si="462"/>
        <v>46358</v>
      </c>
      <c r="EB36" s="52">
        <f t="shared" si="462"/>
        <v>46359</v>
      </c>
      <c r="EC36" s="53">
        <f t="shared" si="462"/>
        <v>46360</v>
      </c>
      <c r="ED36" s="51">
        <f t="shared" si="49"/>
        <v>46363</v>
      </c>
      <c r="EE36" s="52">
        <f t="shared" si="463"/>
        <v>46364</v>
      </c>
      <c r="EF36" s="52">
        <f t="shared" si="463"/>
        <v>46365</v>
      </c>
      <c r="EG36" s="52">
        <f t="shared" si="463"/>
        <v>46366</v>
      </c>
      <c r="EH36" s="53">
        <f t="shared" si="463"/>
        <v>46367</v>
      </c>
      <c r="EI36" s="51">
        <f t="shared" si="51"/>
        <v>46370</v>
      </c>
      <c r="EJ36" s="52">
        <f t="shared" si="464"/>
        <v>46371</v>
      </c>
      <c r="EK36" s="52">
        <f t="shared" si="464"/>
        <v>46372</v>
      </c>
      <c r="EL36" s="52">
        <f t="shared" si="464"/>
        <v>46373</v>
      </c>
      <c r="EM36" s="53">
        <f t="shared" si="464"/>
        <v>46374</v>
      </c>
      <c r="EN36" s="51">
        <f t="shared" si="53"/>
        <v>46377</v>
      </c>
      <c r="EO36" s="52">
        <f t="shared" si="465"/>
        <v>46378</v>
      </c>
      <c r="EP36" s="52">
        <f t="shared" si="465"/>
        <v>46379</v>
      </c>
      <c r="EQ36" s="52">
        <f t="shared" si="465"/>
        <v>46380</v>
      </c>
      <c r="ER36" s="53">
        <f t="shared" si="465"/>
        <v>46381</v>
      </c>
      <c r="ES36" s="51">
        <f t="shared" si="55"/>
        <v>46384</v>
      </c>
      <c r="ET36" s="52">
        <f t="shared" si="466"/>
        <v>46385</v>
      </c>
      <c r="EU36" s="52">
        <f t="shared" si="466"/>
        <v>46386</v>
      </c>
      <c r="EV36" s="52">
        <f t="shared" si="466"/>
        <v>46387</v>
      </c>
      <c r="EW36" s="53">
        <f t="shared" si="466"/>
        <v>46388</v>
      </c>
      <c r="EX36" s="51">
        <f t="shared" si="57"/>
        <v>46391</v>
      </c>
      <c r="EY36" s="52">
        <f t="shared" ref="EY36:FB38" si="467">EX35+1</f>
        <v>46392</v>
      </c>
      <c r="EZ36" s="52">
        <f t="shared" si="467"/>
        <v>46393</v>
      </c>
      <c r="FA36" s="52" t="e">
        <f t="shared" si="467"/>
        <v>#REF!</v>
      </c>
      <c r="FB36" s="53" t="e">
        <f t="shared" si="467"/>
        <v>#REF!</v>
      </c>
    </row>
    <row r="37" spans="1:158" ht="18" customHeight="1" outlineLevel="2">
      <c r="A37" s="26"/>
      <c r="B37" s="34"/>
      <c r="C37" s="34"/>
      <c r="D37" s="41" t="s">
        <v>91</v>
      </c>
      <c r="E37" s="42"/>
      <c r="F37" s="43"/>
      <c r="G37" s="60"/>
      <c r="H37" s="71" t="s">
        <v>18</v>
      </c>
      <c r="I37" s="71" t="s">
        <v>18</v>
      </c>
      <c r="J37" s="72" t="s">
        <v>18</v>
      </c>
      <c r="K37" s="73"/>
      <c r="L37" s="74" t="s">
        <v>121</v>
      </c>
      <c r="M37" s="46">
        <v>46279</v>
      </c>
      <c r="N37" s="47">
        <v>46283</v>
      </c>
      <c r="O37" s="48">
        <f>5/132/1.3</f>
        <v>2.9137529137529136E-2</v>
      </c>
      <c r="P37" s="48"/>
      <c r="Q37" s="49"/>
      <c r="R37" s="48"/>
      <c r="S37" s="51">
        <f t="shared" si="30"/>
        <v>46202</v>
      </c>
      <c r="T37" s="52">
        <f t="shared" si="453"/>
        <v>46203</v>
      </c>
      <c r="U37" s="52">
        <f t="shared" si="453"/>
        <v>46204</v>
      </c>
      <c r="V37" s="52">
        <f t="shared" si="453"/>
        <v>46205</v>
      </c>
      <c r="W37" s="53">
        <f t="shared" si="453"/>
        <v>46206</v>
      </c>
      <c r="X37" s="51">
        <v>46209</v>
      </c>
      <c r="Y37" s="52">
        <v>46210</v>
      </c>
      <c r="Z37" s="52">
        <v>46211</v>
      </c>
      <c r="AA37" s="52">
        <v>46212</v>
      </c>
      <c r="AB37" s="53">
        <v>46213</v>
      </c>
      <c r="AC37" s="51">
        <v>46216</v>
      </c>
      <c r="AD37" s="52">
        <v>46217</v>
      </c>
      <c r="AE37" s="52">
        <v>46218</v>
      </c>
      <c r="AF37" s="52">
        <v>46219</v>
      </c>
      <c r="AG37" s="53">
        <v>46220</v>
      </c>
      <c r="AH37" s="51">
        <v>46223</v>
      </c>
      <c r="AI37" s="52">
        <v>46224</v>
      </c>
      <c r="AJ37" s="52">
        <v>46225</v>
      </c>
      <c r="AK37" s="52">
        <v>46226</v>
      </c>
      <c r="AL37" s="53">
        <v>46227</v>
      </c>
      <c r="AM37" s="51">
        <v>46230</v>
      </c>
      <c r="AN37" s="52">
        <v>46231</v>
      </c>
      <c r="AO37" s="52">
        <v>46232</v>
      </c>
      <c r="AP37" s="52">
        <v>46233</v>
      </c>
      <c r="AQ37" s="53">
        <v>46234</v>
      </c>
      <c r="AR37" s="51">
        <v>46237</v>
      </c>
      <c r="AS37" s="52">
        <v>46238</v>
      </c>
      <c r="AT37" s="52">
        <v>46239</v>
      </c>
      <c r="AU37" s="52">
        <v>46240</v>
      </c>
      <c r="AV37" s="53">
        <v>46241</v>
      </c>
      <c r="AW37" s="51">
        <v>46244</v>
      </c>
      <c r="AX37" s="52">
        <v>46245</v>
      </c>
      <c r="AY37" s="52">
        <v>46246</v>
      </c>
      <c r="AZ37" s="52">
        <v>46247</v>
      </c>
      <c r="BA37" s="53">
        <v>46248</v>
      </c>
      <c r="BB37" s="51">
        <v>46251</v>
      </c>
      <c r="BC37" s="52">
        <v>46252</v>
      </c>
      <c r="BD37" s="52">
        <v>46253</v>
      </c>
      <c r="BE37" s="52">
        <v>46254</v>
      </c>
      <c r="BF37" s="53">
        <v>46255</v>
      </c>
      <c r="BG37" s="51">
        <v>46258</v>
      </c>
      <c r="BH37" s="52">
        <v>46259</v>
      </c>
      <c r="BI37" s="52">
        <v>46260</v>
      </c>
      <c r="BJ37" s="52">
        <v>46261</v>
      </c>
      <c r="BK37" s="53">
        <v>46262</v>
      </c>
      <c r="BL37" s="51">
        <v>46265</v>
      </c>
      <c r="BM37" s="52">
        <v>46266</v>
      </c>
      <c r="BN37" s="52">
        <v>46267</v>
      </c>
      <c r="BO37" s="52">
        <v>46268</v>
      </c>
      <c r="BP37" s="53">
        <v>46269</v>
      </c>
      <c r="BQ37" s="51">
        <v>46272</v>
      </c>
      <c r="BR37" s="52">
        <v>46273</v>
      </c>
      <c r="BS37" s="52">
        <v>46274</v>
      </c>
      <c r="BT37" s="52">
        <v>46275</v>
      </c>
      <c r="BU37" s="53">
        <v>46276</v>
      </c>
      <c r="BV37" s="51">
        <v>46279</v>
      </c>
      <c r="BW37" s="52">
        <v>46280</v>
      </c>
      <c r="BX37" s="52">
        <v>46281</v>
      </c>
      <c r="BY37" s="52">
        <v>46282</v>
      </c>
      <c r="BZ37" s="53">
        <v>46283</v>
      </c>
      <c r="CA37" s="51">
        <v>46286</v>
      </c>
      <c r="CB37" s="52">
        <v>46287</v>
      </c>
      <c r="CC37" s="52">
        <v>46288</v>
      </c>
      <c r="CD37" s="52">
        <v>46289</v>
      </c>
      <c r="CE37" s="53">
        <v>46290</v>
      </c>
      <c r="CF37" s="51">
        <v>46293</v>
      </c>
      <c r="CG37" s="52">
        <v>46294</v>
      </c>
      <c r="CH37" s="52">
        <v>46295</v>
      </c>
      <c r="CI37" s="52">
        <v>46296</v>
      </c>
      <c r="CJ37" s="53">
        <v>46297</v>
      </c>
      <c r="CK37" s="51">
        <f t="shared" si="32"/>
        <v>46300</v>
      </c>
      <c r="CL37" s="52">
        <f t="shared" si="454"/>
        <v>46301</v>
      </c>
      <c r="CM37" s="52">
        <f t="shared" si="454"/>
        <v>46302</v>
      </c>
      <c r="CN37" s="52">
        <f t="shared" si="454"/>
        <v>46303</v>
      </c>
      <c r="CO37" s="53">
        <f t="shared" si="454"/>
        <v>46304</v>
      </c>
      <c r="CP37" s="51">
        <f t="shared" si="61"/>
        <v>46307</v>
      </c>
      <c r="CQ37" s="52">
        <f t="shared" si="455"/>
        <v>46308</v>
      </c>
      <c r="CR37" s="52">
        <f t="shared" si="455"/>
        <v>46309</v>
      </c>
      <c r="CS37" s="52">
        <f t="shared" si="455"/>
        <v>46310</v>
      </c>
      <c r="CT37" s="53">
        <f t="shared" si="455"/>
        <v>46311</v>
      </c>
      <c r="CU37" s="51">
        <f t="shared" si="35"/>
        <v>46314</v>
      </c>
      <c r="CV37" s="52">
        <f t="shared" si="456"/>
        <v>46315</v>
      </c>
      <c r="CW37" s="52">
        <f t="shared" si="456"/>
        <v>46316</v>
      </c>
      <c r="CX37" s="52">
        <f t="shared" si="456"/>
        <v>46317</v>
      </c>
      <c r="CY37" s="53">
        <f t="shared" si="456"/>
        <v>46318</v>
      </c>
      <c r="CZ37" s="51">
        <f t="shared" si="37"/>
        <v>46321</v>
      </c>
      <c r="DA37" s="52">
        <f t="shared" si="457"/>
        <v>46322</v>
      </c>
      <c r="DB37" s="52">
        <f t="shared" si="457"/>
        <v>46323</v>
      </c>
      <c r="DC37" s="52">
        <f t="shared" si="457"/>
        <v>46324</v>
      </c>
      <c r="DD37" s="53">
        <f t="shared" si="457"/>
        <v>46325</v>
      </c>
      <c r="DE37" s="51">
        <f t="shared" si="39"/>
        <v>46328</v>
      </c>
      <c r="DF37" s="52">
        <f t="shared" si="458"/>
        <v>46329</v>
      </c>
      <c r="DG37" s="52">
        <f t="shared" si="458"/>
        <v>46330</v>
      </c>
      <c r="DH37" s="52">
        <f t="shared" si="458"/>
        <v>46331</v>
      </c>
      <c r="DI37" s="53">
        <f t="shared" si="458"/>
        <v>46332</v>
      </c>
      <c r="DJ37" s="51">
        <f t="shared" si="41"/>
        <v>46335</v>
      </c>
      <c r="DK37" s="52">
        <f t="shared" si="459"/>
        <v>46336</v>
      </c>
      <c r="DL37" s="52">
        <f t="shared" si="459"/>
        <v>46337</v>
      </c>
      <c r="DM37" s="52">
        <f t="shared" si="459"/>
        <v>46338</v>
      </c>
      <c r="DN37" s="53">
        <f t="shared" si="459"/>
        <v>46339</v>
      </c>
      <c r="DO37" s="51">
        <f t="shared" si="43"/>
        <v>46342</v>
      </c>
      <c r="DP37" s="52">
        <f t="shared" si="460"/>
        <v>46343</v>
      </c>
      <c r="DQ37" s="52">
        <f t="shared" si="460"/>
        <v>46344</v>
      </c>
      <c r="DR37" s="52">
        <f t="shared" si="460"/>
        <v>46345</v>
      </c>
      <c r="DS37" s="53">
        <f t="shared" si="460"/>
        <v>46346</v>
      </c>
      <c r="DT37" s="51">
        <f t="shared" si="45"/>
        <v>46349</v>
      </c>
      <c r="DU37" s="52">
        <f t="shared" si="461"/>
        <v>46350</v>
      </c>
      <c r="DV37" s="52">
        <f t="shared" si="461"/>
        <v>46351</v>
      </c>
      <c r="DW37" s="52">
        <f t="shared" si="461"/>
        <v>46352</v>
      </c>
      <c r="DX37" s="53">
        <f t="shared" si="461"/>
        <v>46353</v>
      </c>
      <c r="DY37" s="51">
        <f t="shared" si="47"/>
        <v>46356</v>
      </c>
      <c r="DZ37" s="52">
        <f t="shared" si="462"/>
        <v>46357</v>
      </c>
      <c r="EA37" s="52">
        <f t="shared" si="462"/>
        <v>46358</v>
      </c>
      <c r="EB37" s="52">
        <f t="shared" si="462"/>
        <v>46359</v>
      </c>
      <c r="EC37" s="53">
        <f t="shared" si="462"/>
        <v>46360</v>
      </c>
      <c r="ED37" s="51">
        <f t="shared" si="49"/>
        <v>46363</v>
      </c>
      <c r="EE37" s="52">
        <f t="shared" si="463"/>
        <v>46364</v>
      </c>
      <c r="EF37" s="52">
        <f t="shared" si="463"/>
        <v>46365</v>
      </c>
      <c r="EG37" s="52">
        <f t="shared" si="463"/>
        <v>46366</v>
      </c>
      <c r="EH37" s="53">
        <f t="shared" si="463"/>
        <v>46367</v>
      </c>
      <c r="EI37" s="51">
        <f t="shared" si="51"/>
        <v>46370</v>
      </c>
      <c r="EJ37" s="52">
        <f t="shared" si="464"/>
        <v>46371</v>
      </c>
      <c r="EK37" s="52">
        <f t="shared" si="464"/>
        <v>46372</v>
      </c>
      <c r="EL37" s="52">
        <f t="shared" si="464"/>
        <v>46373</v>
      </c>
      <c r="EM37" s="53">
        <f t="shared" si="464"/>
        <v>46374</v>
      </c>
      <c r="EN37" s="51">
        <f t="shared" si="53"/>
        <v>46377</v>
      </c>
      <c r="EO37" s="52">
        <f t="shared" si="465"/>
        <v>46378</v>
      </c>
      <c r="EP37" s="52">
        <f t="shared" si="465"/>
        <v>46379</v>
      </c>
      <c r="EQ37" s="52">
        <f t="shared" si="465"/>
        <v>46380</v>
      </c>
      <c r="ER37" s="53">
        <f t="shared" si="465"/>
        <v>46381</v>
      </c>
      <c r="ES37" s="51">
        <f t="shared" si="55"/>
        <v>46384</v>
      </c>
      <c r="ET37" s="52">
        <f t="shared" si="466"/>
        <v>46385</v>
      </c>
      <c r="EU37" s="52">
        <f t="shared" si="466"/>
        <v>46386</v>
      </c>
      <c r="EV37" s="52">
        <f t="shared" si="466"/>
        <v>46387</v>
      </c>
      <c r="EW37" s="53">
        <f t="shared" si="466"/>
        <v>46388</v>
      </c>
      <c r="EX37" s="51">
        <f t="shared" si="57"/>
        <v>46391</v>
      </c>
      <c r="EY37" s="52">
        <f t="shared" si="467"/>
        <v>46392</v>
      </c>
      <c r="EZ37" s="52">
        <f t="shared" si="467"/>
        <v>46393</v>
      </c>
      <c r="FA37" s="52">
        <f t="shared" si="467"/>
        <v>46394</v>
      </c>
      <c r="FB37" s="53" t="e">
        <f t="shared" si="467"/>
        <v>#REF!</v>
      </c>
    </row>
    <row r="38" spans="1:158" ht="18" customHeight="1" outlineLevel="2">
      <c r="A38" s="26"/>
      <c r="B38" s="34"/>
      <c r="C38" s="34"/>
      <c r="D38" s="41" t="s">
        <v>92</v>
      </c>
      <c r="E38" s="42"/>
      <c r="F38" s="43"/>
      <c r="G38" s="60"/>
      <c r="H38" s="71" t="s">
        <v>18</v>
      </c>
      <c r="I38" s="71" t="s">
        <v>18</v>
      </c>
      <c r="J38" s="72" t="s">
        <v>18</v>
      </c>
      <c r="K38" s="73"/>
      <c r="L38" s="74" t="s">
        <v>122</v>
      </c>
      <c r="M38" s="46">
        <v>46286</v>
      </c>
      <c r="N38" s="47">
        <v>46295</v>
      </c>
      <c r="O38" s="48">
        <f>5/132/1.3</f>
        <v>2.9137529137529136E-2</v>
      </c>
      <c r="P38" s="48"/>
      <c r="Q38" s="49"/>
      <c r="R38" s="48"/>
      <c r="S38" s="51">
        <f t="shared" si="30"/>
        <v>46202</v>
      </c>
      <c r="T38" s="52">
        <f t="shared" si="453"/>
        <v>46203</v>
      </c>
      <c r="U38" s="52">
        <f t="shared" si="453"/>
        <v>46204</v>
      </c>
      <c r="V38" s="52">
        <f t="shared" si="453"/>
        <v>46205</v>
      </c>
      <c r="W38" s="53">
        <f t="shared" si="453"/>
        <v>46206</v>
      </c>
      <c r="X38" s="51">
        <v>46209</v>
      </c>
      <c r="Y38" s="52">
        <v>46210</v>
      </c>
      <c r="Z38" s="52">
        <v>46211</v>
      </c>
      <c r="AA38" s="52">
        <v>46212</v>
      </c>
      <c r="AB38" s="53">
        <v>46213</v>
      </c>
      <c r="AC38" s="51">
        <v>46216</v>
      </c>
      <c r="AD38" s="52">
        <v>46217</v>
      </c>
      <c r="AE38" s="52">
        <v>46218</v>
      </c>
      <c r="AF38" s="52">
        <v>46219</v>
      </c>
      <c r="AG38" s="53">
        <v>46220</v>
      </c>
      <c r="AH38" s="51">
        <v>46223</v>
      </c>
      <c r="AI38" s="52">
        <v>46224</v>
      </c>
      <c r="AJ38" s="52">
        <v>46225</v>
      </c>
      <c r="AK38" s="52">
        <v>46226</v>
      </c>
      <c r="AL38" s="53">
        <v>46227</v>
      </c>
      <c r="AM38" s="51">
        <v>46230</v>
      </c>
      <c r="AN38" s="52">
        <v>46231</v>
      </c>
      <c r="AO38" s="52">
        <v>46232</v>
      </c>
      <c r="AP38" s="52">
        <v>46233</v>
      </c>
      <c r="AQ38" s="53">
        <v>46234</v>
      </c>
      <c r="AR38" s="51">
        <v>46237</v>
      </c>
      <c r="AS38" s="52">
        <v>46238</v>
      </c>
      <c r="AT38" s="52">
        <v>46239</v>
      </c>
      <c r="AU38" s="52">
        <v>46240</v>
      </c>
      <c r="AV38" s="53">
        <v>46241</v>
      </c>
      <c r="AW38" s="51">
        <v>46244</v>
      </c>
      <c r="AX38" s="52">
        <v>46245</v>
      </c>
      <c r="AY38" s="52">
        <v>46246</v>
      </c>
      <c r="AZ38" s="52">
        <v>46247</v>
      </c>
      <c r="BA38" s="53">
        <v>46248</v>
      </c>
      <c r="BB38" s="51">
        <v>46251</v>
      </c>
      <c r="BC38" s="52">
        <v>46252</v>
      </c>
      <c r="BD38" s="52">
        <v>46253</v>
      </c>
      <c r="BE38" s="52">
        <v>46254</v>
      </c>
      <c r="BF38" s="53">
        <v>46255</v>
      </c>
      <c r="BG38" s="51">
        <v>46258</v>
      </c>
      <c r="BH38" s="52">
        <v>46259</v>
      </c>
      <c r="BI38" s="52">
        <v>46260</v>
      </c>
      <c r="BJ38" s="52">
        <v>46261</v>
      </c>
      <c r="BK38" s="53">
        <v>46262</v>
      </c>
      <c r="BL38" s="51">
        <v>46265</v>
      </c>
      <c r="BM38" s="52">
        <v>46266</v>
      </c>
      <c r="BN38" s="52">
        <v>46267</v>
      </c>
      <c r="BO38" s="52">
        <v>46268</v>
      </c>
      <c r="BP38" s="53">
        <v>46269</v>
      </c>
      <c r="BQ38" s="51">
        <v>46272</v>
      </c>
      <c r="BR38" s="52">
        <v>46273</v>
      </c>
      <c r="BS38" s="52">
        <v>46274</v>
      </c>
      <c r="BT38" s="52">
        <v>46275</v>
      </c>
      <c r="BU38" s="53">
        <v>46276</v>
      </c>
      <c r="BV38" s="51">
        <v>46279</v>
      </c>
      <c r="BW38" s="52">
        <v>46280</v>
      </c>
      <c r="BX38" s="52">
        <v>46281</v>
      </c>
      <c r="BY38" s="52">
        <v>46282</v>
      </c>
      <c r="BZ38" s="53">
        <v>46283</v>
      </c>
      <c r="CA38" s="51">
        <v>46286</v>
      </c>
      <c r="CB38" s="52">
        <v>46287</v>
      </c>
      <c r="CC38" s="52">
        <v>46288</v>
      </c>
      <c r="CD38" s="52">
        <v>46289</v>
      </c>
      <c r="CE38" s="53">
        <v>46290</v>
      </c>
      <c r="CF38" s="51">
        <v>46293</v>
      </c>
      <c r="CG38" s="52">
        <v>46294</v>
      </c>
      <c r="CH38" s="52">
        <v>46295</v>
      </c>
      <c r="CI38" s="52">
        <v>46296</v>
      </c>
      <c r="CJ38" s="53">
        <v>46297</v>
      </c>
      <c r="CK38" s="51">
        <f t="shared" si="32"/>
        <v>46300</v>
      </c>
      <c r="CL38" s="52">
        <f t="shared" si="454"/>
        <v>46301</v>
      </c>
      <c r="CM38" s="52">
        <f t="shared" si="454"/>
        <v>46302</v>
      </c>
      <c r="CN38" s="52">
        <f t="shared" si="454"/>
        <v>46303</v>
      </c>
      <c r="CO38" s="53">
        <f t="shared" si="454"/>
        <v>46304</v>
      </c>
      <c r="CP38" s="51">
        <f t="shared" si="61"/>
        <v>46307</v>
      </c>
      <c r="CQ38" s="52">
        <f t="shared" si="455"/>
        <v>46308</v>
      </c>
      <c r="CR38" s="52">
        <f t="shared" si="455"/>
        <v>46309</v>
      </c>
      <c r="CS38" s="52">
        <f t="shared" si="455"/>
        <v>46310</v>
      </c>
      <c r="CT38" s="53">
        <f t="shared" si="455"/>
        <v>46311</v>
      </c>
      <c r="CU38" s="51">
        <f t="shared" si="35"/>
        <v>46314</v>
      </c>
      <c r="CV38" s="52">
        <f t="shared" si="456"/>
        <v>46315</v>
      </c>
      <c r="CW38" s="52">
        <f t="shared" si="456"/>
        <v>46316</v>
      </c>
      <c r="CX38" s="52">
        <f t="shared" si="456"/>
        <v>46317</v>
      </c>
      <c r="CY38" s="53">
        <f t="shared" si="456"/>
        <v>46318</v>
      </c>
      <c r="CZ38" s="51">
        <f t="shared" si="37"/>
        <v>46321</v>
      </c>
      <c r="DA38" s="52">
        <f t="shared" si="457"/>
        <v>46322</v>
      </c>
      <c r="DB38" s="52">
        <f t="shared" si="457"/>
        <v>46323</v>
      </c>
      <c r="DC38" s="52">
        <f t="shared" si="457"/>
        <v>46324</v>
      </c>
      <c r="DD38" s="53">
        <f t="shared" si="457"/>
        <v>46325</v>
      </c>
      <c r="DE38" s="51">
        <f t="shared" si="39"/>
        <v>46328</v>
      </c>
      <c r="DF38" s="52">
        <f t="shared" si="458"/>
        <v>46329</v>
      </c>
      <c r="DG38" s="52">
        <f t="shared" si="458"/>
        <v>46330</v>
      </c>
      <c r="DH38" s="52">
        <f t="shared" si="458"/>
        <v>46331</v>
      </c>
      <c r="DI38" s="53">
        <f t="shared" si="458"/>
        <v>46332</v>
      </c>
      <c r="DJ38" s="51">
        <f t="shared" si="41"/>
        <v>46335</v>
      </c>
      <c r="DK38" s="52">
        <f t="shared" si="459"/>
        <v>46336</v>
      </c>
      <c r="DL38" s="52">
        <f t="shared" si="459"/>
        <v>46337</v>
      </c>
      <c r="DM38" s="52">
        <f t="shared" si="459"/>
        <v>46338</v>
      </c>
      <c r="DN38" s="53">
        <f t="shared" si="459"/>
        <v>46339</v>
      </c>
      <c r="DO38" s="51">
        <f t="shared" si="43"/>
        <v>46342</v>
      </c>
      <c r="DP38" s="52">
        <f t="shared" si="460"/>
        <v>46343</v>
      </c>
      <c r="DQ38" s="52">
        <f t="shared" si="460"/>
        <v>46344</v>
      </c>
      <c r="DR38" s="52">
        <f t="shared" si="460"/>
        <v>46345</v>
      </c>
      <c r="DS38" s="53">
        <f t="shared" si="460"/>
        <v>46346</v>
      </c>
      <c r="DT38" s="51">
        <f t="shared" si="45"/>
        <v>46349</v>
      </c>
      <c r="DU38" s="52">
        <f t="shared" si="461"/>
        <v>46350</v>
      </c>
      <c r="DV38" s="52">
        <f t="shared" si="461"/>
        <v>46351</v>
      </c>
      <c r="DW38" s="52">
        <f t="shared" si="461"/>
        <v>46352</v>
      </c>
      <c r="DX38" s="53">
        <f t="shared" si="461"/>
        <v>46353</v>
      </c>
      <c r="DY38" s="51">
        <f t="shared" si="47"/>
        <v>46356</v>
      </c>
      <c r="DZ38" s="52">
        <f t="shared" si="462"/>
        <v>46357</v>
      </c>
      <c r="EA38" s="52">
        <f t="shared" si="462"/>
        <v>46358</v>
      </c>
      <c r="EB38" s="52">
        <f t="shared" si="462"/>
        <v>46359</v>
      </c>
      <c r="EC38" s="53">
        <f t="shared" si="462"/>
        <v>46360</v>
      </c>
      <c r="ED38" s="51">
        <f t="shared" si="49"/>
        <v>46363</v>
      </c>
      <c r="EE38" s="52">
        <f t="shared" si="463"/>
        <v>46364</v>
      </c>
      <c r="EF38" s="52">
        <f t="shared" si="463"/>
        <v>46365</v>
      </c>
      <c r="EG38" s="52">
        <f t="shared" si="463"/>
        <v>46366</v>
      </c>
      <c r="EH38" s="53">
        <f t="shared" si="463"/>
        <v>46367</v>
      </c>
      <c r="EI38" s="51">
        <f t="shared" si="51"/>
        <v>46370</v>
      </c>
      <c r="EJ38" s="52">
        <f t="shared" si="464"/>
        <v>46371</v>
      </c>
      <c r="EK38" s="52">
        <f t="shared" si="464"/>
        <v>46372</v>
      </c>
      <c r="EL38" s="52">
        <f t="shared" si="464"/>
        <v>46373</v>
      </c>
      <c r="EM38" s="53">
        <f t="shared" si="464"/>
        <v>46374</v>
      </c>
      <c r="EN38" s="51">
        <f t="shared" si="53"/>
        <v>46377</v>
      </c>
      <c r="EO38" s="52">
        <f t="shared" si="465"/>
        <v>46378</v>
      </c>
      <c r="EP38" s="52">
        <f t="shared" si="465"/>
        <v>46379</v>
      </c>
      <c r="EQ38" s="52">
        <f t="shared" si="465"/>
        <v>46380</v>
      </c>
      <c r="ER38" s="53">
        <f t="shared" si="465"/>
        <v>46381</v>
      </c>
      <c r="ES38" s="51">
        <f t="shared" si="55"/>
        <v>46384</v>
      </c>
      <c r="ET38" s="52">
        <f t="shared" si="466"/>
        <v>46385</v>
      </c>
      <c r="EU38" s="52">
        <f t="shared" si="466"/>
        <v>46386</v>
      </c>
      <c r="EV38" s="52">
        <f t="shared" si="466"/>
        <v>46387</v>
      </c>
      <c r="EW38" s="53">
        <f t="shared" si="466"/>
        <v>46388</v>
      </c>
      <c r="EX38" s="51">
        <f t="shared" si="57"/>
        <v>46391</v>
      </c>
      <c r="EY38" s="52">
        <f t="shared" si="467"/>
        <v>46392</v>
      </c>
      <c r="EZ38" s="52">
        <f t="shared" si="467"/>
        <v>46393</v>
      </c>
      <c r="FA38" s="52">
        <f t="shared" si="467"/>
        <v>46394</v>
      </c>
      <c r="FB38" s="53">
        <f t="shared" si="467"/>
        <v>46395</v>
      </c>
    </row>
    <row r="39" spans="1:158" ht="18" customHeight="1" outlineLevel="2">
      <c r="A39" s="26"/>
      <c r="B39" s="34"/>
      <c r="C39" s="34"/>
      <c r="D39" s="2" t="s">
        <v>93</v>
      </c>
      <c r="E39" s="42"/>
      <c r="F39" s="43"/>
      <c r="G39" s="60"/>
      <c r="H39" s="71" t="s">
        <v>18</v>
      </c>
      <c r="I39" s="71" t="s">
        <v>18</v>
      </c>
      <c r="J39" s="72" t="s">
        <v>18</v>
      </c>
      <c r="K39" s="73"/>
      <c r="L39" s="74" t="s">
        <v>123</v>
      </c>
      <c r="M39" s="46">
        <v>46296</v>
      </c>
      <c r="N39" s="47">
        <v>46303</v>
      </c>
      <c r="O39" s="48">
        <f>5/132/1.3</f>
        <v>2.9137529137529136E-2</v>
      </c>
      <c r="P39" s="14"/>
      <c r="Q39" s="15"/>
      <c r="R39" s="14"/>
      <c r="S39" s="51">
        <f t="shared" si="30"/>
        <v>46202</v>
      </c>
      <c r="T39" s="52">
        <f t="shared" ref="T39:W39" si="468">S39+1</f>
        <v>46203</v>
      </c>
      <c r="U39" s="52">
        <f t="shared" si="468"/>
        <v>46204</v>
      </c>
      <c r="V39" s="52">
        <f t="shared" si="468"/>
        <v>46205</v>
      </c>
      <c r="W39" s="53">
        <f t="shared" si="468"/>
        <v>46206</v>
      </c>
      <c r="X39" s="51">
        <v>46209</v>
      </c>
      <c r="Y39" s="52">
        <v>46210</v>
      </c>
      <c r="Z39" s="52">
        <v>46211</v>
      </c>
      <c r="AA39" s="52">
        <v>46212</v>
      </c>
      <c r="AB39" s="53">
        <v>46213</v>
      </c>
      <c r="AC39" s="51">
        <v>46216</v>
      </c>
      <c r="AD39" s="52">
        <v>46217</v>
      </c>
      <c r="AE39" s="52">
        <v>46218</v>
      </c>
      <c r="AF39" s="52">
        <v>46219</v>
      </c>
      <c r="AG39" s="53">
        <v>46220</v>
      </c>
      <c r="AH39" s="51">
        <v>46223</v>
      </c>
      <c r="AI39" s="52">
        <v>46224</v>
      </c>
      <c r="AJ39" s="52">
        <v>46225</v>
      </c>
      <c r="AK39" s="52">
        <v>46226</v>
      </c>
      <c r="AL39" s="53">
        <v>46227</v>
      </c>
      <c r="AM39" s="51">
        <v>46230</v>
      </c>
      <c r="AN39" s="52">
        <v>46231</v>
      </c>
      <c r="AO39" s="52">
        <v>46232</v>
      </c>
      <c r="AP39" s="52">
        <v>46233</v>
      </c>
      <c r="AQ39" s="53">
        <v>46234</v>
      </c>
      <c r="AR39" s="51">
        <v>46237</v>
      </c>
      <c r="AS39" s="52">
        <v>46238</v>
      </c>
      <c r="AT39" s="52">
        <v>46239</v>
      </c>
      <c r="AU39" s="52">
        <v>46240</v>
      </c>
      <c r="AV39" s="53">
        <v>46241</v>
      </c>
      <c r="AW39" s="51">
        <v>46244</v>
      </c>
      <c r="AX39" s="52">
        <v>46245</v>
      </c>
      <c r="AY39" s="52">
        <v>46246</v>
      </c>
      <c r="AZ39" s="52">
        <v>46247</v>
      </c>
      <c r="BA39" s="53">
        <v>46248</v>
      </c>
      <c r="BB39" s="51">
        <v>46251</v>
      </c>
      <c r="BC39" s="52">
        <v>46252</v>
      </c>
      <c r="BD39" s="52">
        <v>46253</v>
      </c>
      <c r="BE39" s="52">
        <v>46254</v>
      </c>
      <c r="BF39" s="53">
        <v>46255</v>
      </c>
      <c r="BG39" s="51">
        <v>46258</v>
      </c>
      <c r="BH39" s="52">
        <v>46259</v>
      </c>
      <c r="BI39" s="52">
        <v>46260</v>
      </c>
      <c r="BJ39" s="52">
        <v>46261</v>
      </c>
      <c r="BK39" s="53">
        <v>46262</v>
      </c>
      <c r="BL39" s="51">
        <v>46265</v>
      </c>
      <c r="BM39" s="52">
        <v>46266</v>
      </c>
      <c r="BN39" s="52">
        <v>46267</v>
      </c>
      <c r="BO39" s="52">
        <v>46268</v>
      </c>
      <c r="BP39" s="53">
        <v>46269</v>
      </c>
      <c r="BQ39" s="51">
        <v>46272</v>
      </c>
      <c r="BR39" s="52">
        <v>46273</v>
      </c>
      <c r="BS39" s="52">
        <v>46274</v>
      </c>
      <c r="BT39" s="52">
        <v>46275</v>
      </c>
      <c r="BU39" s="53">
        <v>46276</v>
      </c>
      <c r="BV39" s="51">
        <v>46279</v>
      </c>
      <c r="BW39" s="52">
        <v>46280</v>
      </c>
      <c r="BX39" s="52">
        <v>46281</v>
      </c>
      <c r="BY39" s="52">
        <v>46282</v>
      </c>
      <c r="BZ39" s="53">
        <v>46283</v>
      </c>
      <c r="CA39" s="51">
        <v>46286</v>
      </c>
      <c r="CB39" s="52">
        <v>46287</v>
      </c>
      <c r="CC39" s="52">
        <v>46288</v>
      </c>
      <c r="CD39" s="52">
        <v>46289</v>
      </c>
      <c r="CE39" s="53">
        <v>46290</v>
      </c>
      <c r="CF39" s="51">
        <v>46293</v>
      </c>
      <c r="CG39" s="52">
        <v>46294</v>
      </c>
      <c r="CH39" s="52">
        <v>46295</v>
      </c>
      <c r="CI39" s="52">
        <v>46296</v>
      </c>
      <c r="CJ39" s="53">
        <v>46297</v>
      </c>
      <c r="CK39" s="51">
        <f t="shared" si="32"/>
        <v>46300</v>
      </c>
      <c r="CL39" s="52">
        <f t="shared" ref="CL39:CO39" si="469">CK39+1</f>
        <v>46301</v>
      </c>
      <c r="CM39" s="52">
        <f t="shared" si="469"/>
        <v>46302</v>
      </c>
      <c r="CN39" s="52">
        <f t="shared" si="469"/>
        <v>46303</v>
      </c>
      <c r="CO39" s="53">
        <f t="shared" si="469"/>
        <v>46304</v>
      </c>
      <c r="CP39" s="51">
        <f t="shared" si="61"/>
        <v>46307</v>
      </c>
      <c r="CQ39" s="52">
        <f t="shared" ref="CQ39:CT39" si="470">CP39+1</f>
        <v>46308</v>
      </c>
      <c r="CR39" s="52">
        <f t="shared" si="470"/>
        <v>46309</v>
      </c>
      <c r="CS39" s="52">
        <f t="shared" si="470"/>
        <v>46310</v>
      </c>
      <c r="CT39" s="53">
        <f t="shared" si="470"/>
        <v>46311</v>
      </c>
      <c r="CU39" s="51">
        <f t="shared" si="35"/>
        <v>46314</v>
      </c>
      <c r="CV39" s="52">
        <f t="shared" ref="CV39:CY39" si="471">CU39+1</f>
        <v>46315</v>
      </c>
      <c r="CW39" s="52">
        <f t="shared" si="471"/>
        <v>46316</v>
      </c>
      <c r="CX39" s="52">
        <f t="shared" si="471"/>
        <v>46317</v>
      </c>
      <c r="CY39" s="53">
        <f t="shared" si="471"/>
        <v>46318</v>
      </c>
      <c r="CZ39" s="51">
        <f t="shared" si="37"/>
        <v>46321</v>
      </c>
      <c r="DA39" s="52">
        <f t="shared" ref="DA39:DD39" si="472">CZ39+1</f>
        <v>46322</v>
      </c>
      <c r="DB39" s="52">
        <f t="shared" si="472"/>
        <v>46323</v>
      </c>
      <c r="DC39" s="52">
        <f t="shared" si="472"/>
        <v>46324</v>
      </c>
      <c r="DD39" s="53">
        <f t="shared" si="472"/>
        <v>46325</v>
      </c>
      <c r="DE39" s="51">
        <f t="shared" si="39"/>
        <v>46328</v>
      </c>
      <c r="DF39" s="52">
        <f t="shared" ref="DF39:DI39" si="473">DE39+1</f>
        <v>46329</v>
      </c>
      <c r="DG39" s="52">
        <f t="shared" si="473"/>
        <v>46330</v>
      </c>
      <c r="DH39" s="52">
        <f t="shared" si="473"/>
        <v>46331</v>
      </c>
      <c r="DI39" s="53">
        <f t="shared" si="473"/>
        <v>46332</v>
      </c>
      <c r="DJ39" s="51">
        <f t="shared" si="41"/>
        <v>46335</v>
      </c>
      <c r="DK39" s="52">
        <f t="shared" ref="DK39:DN39" si="474">DJ39+1</f>
        <v>46336</v>
      </c>
      <c r="DL39" s="52">
        <f t="shared" si="474"/>
        <v>46337</v>
      </c>
      <c r="DM39" s="52">
        <f t="shared" si="474"/>
        <v>46338</v>
      </c>
      <c r="DN39" s="53">
        <f t="shared" si="474"/>
        <v>46339</v>
      </c>
      <c r="DO39" s="51">
        <f t="shared" si="43"/>
        <v>46342</v>
      </c>
      <c r="DP39" s="52">
        <f t="shared" ref="DP39:DS39" si="475">DO39+1</f>
        <v>46343</v>
      </c>
      <c r="DQ39" s="52">
        <f t="shared" si="475"/>
        <v>46344</v>
      </c>
      <c r="DR39" s="52">
        <f t="shared" si="475"/>
        <v>46345</v>
      </c>
      <c r="DS39" s="53">
        <f t="shared" si="475"/>
        <v>46346</v>
      </c>
      <c r="DT39" s="51">
        <f t="shared" si="45"/>
        <v>46349</v>
      </c>
      <c r="DU39" s="52">
        <f t="shared" ref="DU39:DX39" si="476">DT39+1</f>
        <v>46350</v>
      </c>
      <c r="DV39" s="52">
        <f t="shared" si="476"/>
        <v>46351</v>
      </c>
      <c r="DW39" s="52">
        <f t="shared" si="476"/>
        <v>46352</v>
      </c>
      <c r="DX39" s="53">
        <f t="shared" si="476"/>
        <v>46353</v>
      </c>
      <c r="DY39" s="51">
        <f t="shared" si="47"/>
        <v>46356</v>
      </c>
      <c r="DZ39" s="52">
        <f t="shared" ref="DZ39:EC39" si="477">DY39+1</f>
        <v>46357</v>
      </c>
      <c r="EA39" s="52">
        <f t="shared" si="477"/>
        <v>46358</v>
      </c>
      <c r="EB39" s="52">
        <f t="shared" si="477"/>
        <v>46359</v>
      </c>
      <c r="EC39" s="53">
        <f t="shared" si="477"/>
        <v>46360</v>
      </c>
      <c r="ED39" s="51">
        <f t="shared" si="49"/>
        <v>46363</v>
      </c>
      <c r="EE39" s="52">
        <f t="shared" ref="EE39:EH39" si="478">ED39+1</f>
        <v>46364</v>
      </c>
      <c r="EF39" s="52">
        <f t="shared" si="478"/>
        <v>46365</v>
      </c>
      <c r="EG39" s="52">
        <f t="shared" si="478"/>
        <v>46366</v>
      </c>
      <c r="EH39" s="53">
        <f t="shared" si="478"/>
        <v>46367</v>
      </c>
      <c r="EI39" s="51">
        <f t="shared" si="51"/>
        <v>46370</v>
      </c>
      <c r="EJ39" s="52">
        <f t="shared" ref="EJ39:EM39" si="479">EI39+1</f>
        <v>46371</v>
      </c>
      <c r="EK39" s="52">
        <f t="shared" si="479"/>
        <v>46372</v>
      </c>
      <c r="EL39" s="52">
        <f t="shared" si="479"/>
        <v>46373</v>
      </c>
      <c r="EM39" s="53">
        <f t="shared" si="479"/>
        <v>46374</v>
      </c>
      <c r="EN39" s="51">
        <f t="shared" si="53"/>
        <v>46377</v>
      </c>
      <c r="EO39" s="52">
        <f t="shared" ref="EO39:ER39" si="480">EN39+1</f>
        <v>46378</v>
      </c>
      <c r="EP39" s="52">
        <f t="shared" si="480"/>
        <v>46379</v>
      </c>
      <c r="EQ39" s="52">
        <f t="shared" si="480"/>
        <v>46380</v>
      </c>
      <c r="ER39" s="53">
        <f t="shared" si="480"/>
        <v>46381</v>
      </c>
      <c r="ES39" s="51">
        <f t="shared" si="55"/>
        <v>46384</v>
      </c>
      <c r="ET39" s="52">
        <f t="shared" ref="ET39:EW39" si="481">ES39+1</f>
        <v>46385</v>
      </c>
      <c r="EU39" s="52">
        <f t="shared" si="481"/>
        <v>46386</v>
      </c>
      <c r="EV39" s="52">
        <f t="shared" si="481"/>
        <v>46387</v>
      </c>
      <c r="EW39" s="53">
        <f t="shared" si="481"/>
        <v>46388</v>
      </c>
      <c r="EX39" s="51">
        <f t="shared" si="57"/>
        <v>46391</v>
      </c>
      <c r="EY39" s="52">
        <f>EX35+1</f>
        <v>46392</v>
      </c>
      <c r="EZ39" s="52">
        <f>EY35+1</f>
        <v>46393</v>
      </c>
      <c r="FA39" s="52" t="e">
        <f>EZ35+1</f>
        <v>#REF!</v>
      </c>
      <c r="FB39" s="53" t="e">
        <f>FA35+1</f>
        <v>#REF!</v>
      </c>
    </row>
    <row r="40" spans="1:158" ht="17.25" customHeight="1" outlineLevel="1">
      <c r="A40" s="26"/>
      <c r="B40" s="34"/>
      <c r="C40" s="57" t="s">
        <v>102</v>
      </c>
      <c r="D40" s="36"/>
      <c r="E40" s="37"/>
      <c r="F40" s="38"/>
      <c r="G40" s="59"/>
      <c r="H40" s="67"/>
      <c r="I40" s="67"/>
      <c r="J40" s="68"/>
      <c r="K40" s="69"/>
      <c r="L40" s="70"/>
      <c r="M40" s="39">
        <f>MIN(M41:M44)</f>
        <v>46251</v>
      </c>
      <c r="N40" s="40">
        <f>MAX(N41:N44)</f>
        <v>46304</v>
      </c>
      <c r="O40" s="13">
        <f>SUM(O41:O44)</f>
        <v>0.10707070707070707</v>
      </c>
      <c r="P40" s="24"/>
      <c r="Q40" s="24"/>
      <c r="R40" s="24"/>
      <c r="S40" s="51">
        <f t="shared" si="30"/>
        <v>46202</v>
      </c>
      <c r="T40" s="52">
        <f t="shared" ref="T40:W40" si="482">S40+1</f>
        <v>46203</v>
      </c>
      <c r="U40" s="52">
        <f t="shared" si="482"/>
        <v>46204</v>
      </c>
      <c r="V40" s="52">
        <f t="shared" si="482"/>
        <v>46205</v>
      </c>
      <c r="W40" s="53">
        <f t="shared" si="482"/>
        <v>46206</v>
      </c>
      <c r="X40" s="51">
        <v>46209</v>
      </c>
      <c r="Y40" s="52">
        <v>46210</v>
      </c>
      <c r="Z40" s="52">
        <v>46211</v>
      </c>
      <c r="AA40" s="52">
        <v>46212</v>
      </c>
      <c r="AB40" s="53">
        <v>46213</v>
      </c>
      <c r="AC40" s="51">
        <v>46216</v>
      </c>
      <c r="AD40" s="52">
        <v>46217</v>
      </c>
      <c r="AE40" s="52">
        <v>46218</v>
      </c>
      <c r="AF40" s="52">
        <v>46219</v>
      </c>
      <c r="AG40" s="53">
        <v>46220</v>
      </c>
      <c r="AH40" s="51">
        <v>46223</v>
      </c>
      <c r="AI40" s="52">
        <v>46224</v>
      </c>
      <c r="AJ40" s="52">
        <v>46225</v>
      </c>
      <c r="AK40" s="52">
        <v>46226</v>
      </c>
      <c r="AL40" s="53">
        <v>46227</v>
      </c>
      <c r="AM40" s="51">
        <v>46230</v>
      </c>
      <c r="AN40" s="52">
        <v>46231</v>
      </c>
      <c r="AO40" s="52">
        <v>46232</v>
      </c>
      <c r="AP40" s="52">
        <v>46233</v>
      </c>
      <c r="AQ40" s="53">
        <v>46234</v>
      </c>
      <c r="AR40" s="51">
        <v>46237</v>
      </c>
      <c r="AS40" s="52">
        <v>46238</v>
      </c>
      <c r="AT40" s="52">
        <v>46239</v>
      </c>
      <c r="AU40" s="52">
        <v>46240</v>
      </c>
      <c r="AV40" s="53">
        <v>46241</v>
      </c>
      <c r="AW40" s="51">
        <v>46244</v>
      </c>
      <c r="AX40" s="52">
        <v>46245</v>
      </c>
      <c r="AY40" s="52">
        <v>46246</v>
      </c>
      <c r="AZ40" s="52">
        <v>46247</v>
      </c>
      <c r="BA40" s="53">
        <v>46248</v>
      </c>
      <c r="BB40" s="51">
        <v>46251</v>
      </c>
      <c r="BC40" s="52">
        <v>46252</v>
      </c>
      <c r="BD40" s="52">
        <v>46253</v>
      </c>
      <c r="BE40" s="52">
        <v>46254</v>
      </c>
      <c r="BF40" s="53">
        <v>46255</v>
      </c>
      <c r="BG40" s="51">
        <v>46258</v>
      </c>
      <c r="BH40" s="52">
        <v>46259</v>
      </c>
      <c r="BI40" s="52">
        <v>46260</v>
      </c>
      <c r="BJ40" s="52">
        <v>46261</v>
      </c>
      <c r="BK40" s="53">
        <v>46262</v>
      </c>
      <c r="BL40" s="51">
        <v>46265</v>
      </c>
      <c r="BM40" s="52">
        <v>46266</v>
      </c>
      <c r="BN40" s="52">
        <v>46267</v>
      </c>
      <c r="BO40" s="52">
        <v>46268</v>
      </c>
      <c r="BP40" s="53">
        <v>46269</v>
      </c>
      <c r="BQ40" s="51">
        <v>46272</v>
      </c>
      <c r="BR40" s="52">
        <v>46273</v>
      </c>
      <c r="BS40" s="52">
        <v>46274</v>
      </c>
      <c r="BT40" s="52">
        <v>46275</v>
      </c>
      <c r="BU40" s="53">
        <v>46276</v>
      </c>
      <c r="BV40" s="51">
        <v>46279</v>
      </c>
      <c r="BW40" s="52">
        <v>46280</v>
      </c>
      <c r="BX40" s="52">
        <v>46281</v>
      </c>
      <c r="BY40" s="52">
        <v>46282</v>
      </c>
      <c r="BZ40" s="53">
        <v>46283</v>
      </c>
      <c r="CA40" s="51">
        <v>46286</v>
      </c>
      <c r="CB40" s="52">
        <v>46287</v>
      </c>
      <c r="CC40" s="52">
        <v>46288</v>
      </c>
      <c r="CD40" s="52">
        <v>46289</v>
      </c>
      <c r="CE40" s="53">
        <v>46290</v>
      </c>
      <c r="CF40" s="51">
        <v>46293</v>
      </c>
      <c r="CG40" s="52">
        <v>46294</v>
      </c>
      <c r="CH40" s="52">
        <v>46295</v>
      </c>
      <c r="CI40" s="52">
        <v>46296</v>
      </c>
      <c r="CJ40" s="53">
        <v>46297</v>
      </c>
      <c r="CK40" s="51">
        <f t="shared" si="32"/>
        <v>46300</v>
      </c>
      <c r="CL40" s="52">
        <f t="shared" ref="CL40:CO40" si="483">CK40+1</f>
        <v>46301</v>
      </c>
      <c r="CM40" s="52">
        <f t="shared" si="483"/>
        <v>46302</v>
      </c>
      <c r="CN40" s="52">
        <f t="shared" si="483"/>
        <v>46303</v>
      </c>
      <c r="CO40" s="53">
        <f t="shared" si="483"/>
        <v>46304</v>
      </c>
      <c r="CP40" s="51">
        <f t="shared" si="61"/>
        <v>46307</v>
      </c>
      <c r="CQ40" s="52">
        <f t="shared" ref="CQ40:CT40" si="484">CP40+1</f>
        <v>46308</v>
      </c>
      <c r="CR40" s="52">
        <f t="shared" si="484"/>
        <v>46309</v>
      </c>
      <c r="CS40" s="52">
        <f t="shared" si="484"/>
        <v>46310</v>
      </c>
      <c r="CT40" s="53">
        <f t="shared" si="484"/>
        <v>46311</v>
      </c>
      <c r="CU40" s="51">
        <f t="shared" si="35"/>
        <v>46314</v>
      </c>
      <c r="CV40" s="52">
        <f t="shared" ref="CV40:CY40" si="485">CU40+1</f>
        <v>46315</v>
      </c>
      <c r="CW40" s="52">
        <f t="shared" si="485"/>
        <v>46316</v>
      </c>
      <c r="CX40" s="52">
        <f t="shared" si="485"/>
        <v>46317</v>
      </c>
      <c r="CY40" s="53">
        <f t="shared" si="485"/>
        <v>46318</v>
      </c>
      <c r="CZ40" s="51">
        <f t="shared" si="37"/>
        <v>46321</v>
      </c>
      <c r="DA40" s="52">
        <f t="shared" ref="DA40:DD40" si="486">CZ40+1</f>
        <v>46322</v>
      </c>
      <c r="DB40" s="52">
        <f t="shared" si="486"/>
        <v>46323</v>
      </c>
      <c r="DC40" s="52">
        <f t="shared" si="486"/>
        <v>46324</v>
      </c>
      <c r="DD40" s="53">
        <f t="shared" si="486"/>
        <v>46325</v>
      </c>
      <c r="DE40" s="51">
        <f t="shared" si="39"/>
        <v>46328</v>
      </c>
      <c r="DF40" s="52">
        <f t="shared" ref="DF40:DI40" si="487">DE40+1</f>
        <v>46329</v>
      </c>
      <c r="DG40" s="52">
        <f t="shared" si="487"/>
        <v>46330</v>
      </c>
      <c r="DH40" s="52">
        <f t="shared" si="487"/>
        <v>46331</v>
      </c>
      <c r="DI40" s="53">
        <f t="shared" si="487"/>
        <v>46332</v>
      </c>
      <c r="DJ40" s="51">
        <f t="shared" si="41"/>
        <v>46335</v>
      </c>
      <c r="DK40" s="52">
        <f t="shared" ref="DK40:DN40" si="488">DJ40+1</f>
        <v>46336</v>
      </c>
      <c r="DL40" s="52">
        <f t="shared" si="488"/>
        <v>46337</v>
      </c>
      <c r="DM40" s="52">
        <f t="shared" si="488"/>
        <v>46338</v>
      </c>
      <c r="DN40" s="53">
        <f t="shared" si="488"/>
        <v>46339</v>
      </c>
      <c r="DO40" s="51">
        <f t="shared" si="43"/>
        <v>46342</v>
      </c>
      <c r="DP40" s="52">
        <f t="shared" ref="DP40:DS40" si="489">DO40+1</f>
        <v>46343</v>
      </c>
      <c r="DQ40" s="52">
        <f t="shared" si="489"/>
        <v>46344</v>
      </c>
      <c r="DR40" s="52">
        <f t="shared" si="489"/>
        <v>46345</v>
      </c>
      <c r="DS40" s="53">
        <f t="shared" si="489"/>
        <v>46346</v>
      </c>
      <c r="DT40" s="51">
        <f t="shared" si="45"/>
        <v>46349</v>
      </c>
      <c r="DU40" s="52">
        <f t="shared" ref="DU40:DX40" si="490">DT40+1</f>
        <v>46350</v>
      </c>
      <c r="DV40" s="52">
        <f t="shared" si="490"/>
        <v>46351</v>
      </c>
      <c r="DW40" s="52">
        <f t="shared" si="490"/>
        <v>46352</v>
      </c>
      <c r="DX40" s="53">
        <f t="shared" si="490"/>
        <v>46353</v>
      </c>
      <c r="DY40" s="51">
        <f t="shared" si="47"/>
        <v>46356</v>
      </c>
      <c r="DZ40" s="52">
        <f t="shared" ref="DZ40:EC40" si="491">DY40+1</f>
        <v>46357</v>
      </c>
      <c r="EA40" s="52">
        <f t="shared" si="491"/>
        <v>46358</v>
      </c>
      <c r="EB40" s="52">
        <f t="shared" si="491"/>
        <v>46359</v>
      </c>
      <c r="EC40" s="53">
        <f t="shared" si="491"/>
        <v>46360</v>
      </c>
      <c r="ED40" s="51">
        <f t="shared" si="49"/>
        <v>46363</v>
      </c>
      <c r="EE40" s="52">
        <f t="shared" ref="EE40:EH40" si="492">ED40+1</f>
        <v>46364</v>
      </c>
      <c r="EF40" s="52">
        <f t="shared" si="492"/>
        <v>46365</v>
      </c>
      <c r="EG40" s="52">
        <f t="shared" si="492"/>
        <v>46366</v>
      </c>
      <c r="EH40" s="53">
        <f t="shared" si="492"/>
        <v>46367</v>
      </c>
      <c r="EI40" s="51">
        <f t="shared" si="51"/>
        <v>46370</v>
      </c>
      <c r="EJ40" s="52">
        <f t="shared" ref="EJ40:EM40" si="493">EI40+1</f>
        <v>46371</v>
      </c>
      <c r="EK40" s="52">
        <f t="shared" si="493"/>
        <v>46372</v>
      </c>
      <c r="EL40" s="52">
        <f t="shared" si="493"/>
        <v>46373</v>
      </c>
      <c r="EM40" s="53">
        <f t="shared" si="493"/>
        <v>46374</v>
      </c>
      <c r="EN40" s="51">
        <f t="shared" si="53"/>
        <v>46377</v>
      </c>
      <c r="EO40" s="52">
        <f t="shared" ref="EO40:ER40" si="494">EN40+1</f>
        <v>46378</v>
      </c>
      <c r="EP40" s="52">
        <f t="shared" si="494"/>
        <v>46379</v>
      </c>
      <c r="EQ40" s="52">
        <f t="shared" si="494"/>
        <v>46380</v>
      </c>
      <c r="ER40" s="53">
        <f t="shared" si="494"/>
        <v>46381</v>
      </c>
      <c r="ES40" s="51">
        <f t="shared" si="55"/>
        <v>46384</v>
      </c>
      <c r="ET40" s="52">
        <f t="shared" ref="ET40:EW40" si="495">ES40+1</f>
        <v>46385</v>
      </c>
      <c r="EU40" s="52">
        <f t="shared" si="495"/>
        <v>46386</v>
      </c>
      <c r="EV40" s="52">
        <f t="shared" si="495"/>
        <v>46387</v>
      </c>
      <c r="EW40" s="53">
        <f t="shared" si="495"/>
        <v>46388</v>
      </c>
      <c r="EX40" s="51">
        <f t="shared" si="57"/>
        <v>46391</v>
      </c>
      <c r="EY40" s="52" t="e">
        <f>#REF!+1</f>
        <v>#REF!</v>
      </c>
      <c r="EZ40" s="52" t="e">
        <f>#REF!+1</f>
        <v>#REF!</v>
      </c>
      <c r="FA40" s="52" t="e">
        <f>#REF!+1</f>
        <v>#REF!</v>
      </c>
      <c r="FB40" s="53" t="e">
        <f>#REF!+1</f>
        <v>#REF!</v>
      </c>
    </row>
    <row r="41" spans="1:158" ht="18" customHeight="1" outlineLevel="2">
      <c r="A41" s="26"/>
      <c r="B41" s="34"/>
      <c r="C41" s="34"/>
      <c r="D41" s="41" t="s">
        <v>101</v>
      </c>
      <c r="E41" s="42"/>
      <c r="F41" s="43"/>
      <c r="G41" s="60"/>
      <c r="H41" s="71" t="s">
        <v>18</v>
      </c>
      <c r="I41" s="71" t="s">
        <v>18</v>
      </c>
      <c r="J41" s="72" t="s">
        <v>18</v>
      </c>
      <c r="K41" s="73"/>
      <c r="L41" s="74"/>
      <c r="M41" s="46">
        <v>46251</v>
      </c>
      <c r="N41" s="47">
        <v>46304</v>
      </c>
      <c r="O41" s="48">
        <f>4/132/5+5/132/6+5/132/5+5/132/5+5/132/5+6/132/6+5/132/5</f>
        <v>5.0252525252525257E-2</v>
      </c>
      <c r="P41" s="48"/>
      <c r="Q41" s="49"/>
      <c r="R41" s="48"/>
      <c r="S41" s="51">
        <f t="shared" si="30"/>
        <v>46202</v>
      </c>
      <c r="T41" s="52">
        <f t="shared" ref="T41:W42" si="496">S41+1</f>
        <v>46203</v>
      </c>
      <c r="U41" s="52">
        <f t="shared" si="496"/>
        <v>46204</v>
      </c>
      <c r="V41" s="52">
        <f t="shared" si="496"/>
        <v>46205</v>
      </c>
      <c r="W41" s="53">
        <f t="shared" si="496"/>
        <v>46206</v>
      </c>
      <c r="X41" s="51">
        <v>46209</v>
      </c>
      <c r="Y41" s="52">
        <v>46210</v>
      </c>
      <c r="Z41" s="52">
        <v>46211</v>
      </c>
      <c r="AA41" s="52">
        <v>46212</v>
      </c>
      <c r="AB41" s="53">
        <v>46213</v>
      </c>
      <c r="AC41" s="51">
        <v>46216</v>
      </c>
      <c r="AD41" s="52">
        <v>46217</v>
      </c>
      <c r="AE41" s="52">
        <v>46218</v>
      </c>
      <c r="AF41" s="52">
        <v>46219</v>
      </c>
      <c r="AG41" s="53">
        <v>46220</v>
      </c>
      <c r="AH41" s="51">
        <v>46223</v>
      </c>
      <c r="AI41" s="52">
        <v>46224</v>
      </c>
      <c r="AJ41" s="52">
        <v>46225</v>
      </c>
      <c r="AK41" s="52">
        <v>46226</v>
      </c>
      <c r="AL41" s="53">
        <v>46227</v>
      </c>
      <c r="AM41" s="51">
        <v>46230</v>
      </c>
      <c r="AN41" s="52">
        <v>46231</v>
      </c>
      <c r="AO41" s="52">
        <v>46232</v>
      </c>
      <c r="AP41" s="52">
        <v>46233</v>
      </c>
      <c r="AQ41" s="53">
        <v>46234</v>
      </c>
      <c r="AR41" s="51">
        <v>46237</v>
      </c>
      <c r="AS41" s="52">
        <v>46238</v>
      </c>
      <c r="AT41" s="52">
        <v>46239</v>
      </c>
      <c r="AU41" s="52">
        <v>46240</v>
      </c>
      <c r="AV41" s="53">
        <v>46241</v>
      </c>
      <c r="AW41" s="51">
        <v>46244</v>
      </c>
      <c r="AX41" s="52">
        <v>46245</v>
      </c>
      <c r="AY41" s="52">
        <v>46246</v>
      </c>
      <c r="AZ41" s="52">
        <v>46247</v>
      </c>
      <c r="BA41" s="53">
        <v>46248</v>
      </c>
      <c r="BB41" s="51">
        <v>46251</v>
      </c>
      <c r="BC41" s="52">
        <v>46252</v>
      </c>
      <c r="BD41" s="52">
        <v>46253</v>
      </c>
      <c r="BE41" s="52">
        <v>46254</v>
      </c>
      <c r="BF41" s="53">
        <v>46255</v>
      </c>
      <c r="BG41" s="51">
        <v>46258</v>
      </c>
      <c r="BH41" s="52">
        <v>46259</v>
      </c>
      <c r="BI41" s="52">
        <v>46260</v>
      </c>
      <c r="BJ41" s="52">
        <v>46261</v>
      </c>
      <c r="BK41" s="53">
        <v>46262</v>
      </c>
      <c r="BL41" s="51">
        <v>46265</v>
      </c>
      <c r="BM41" s="52">
        <v>46266</v>
      </c>
      <c r="BN41" s="52">
        <v>46267</v>
      </c>
      <c r="BO41" s="52">
        <v>46268</v>
      </c>
      <c r="BP41" s="53">
        <v>46269</v>
      </c>
      <c r="BQ41" s="51">
        <v>46272</v>
      </c>
      <c r="BR41" s="52">
        <v>46273</v>
      </c>
      <c r="BS41" s="52">
        <v>46274</v>
      </c>
      <c r="BT41" s="52">
        <v>46275</v>
      </c>
      <c r="BU41" s="53">
        <v>46276</v>
      </c>
      <c r="BV41" s="51">
        <v>46279</v>
      </c>
      <c r="BW41" s="52">
        <v>46280</v>
      </c>
      <c r="BX41" s="52">
        <v>46281</v>
      </c>
      <c r="BY41" s="52">
        <v>46282</v>
      </c>
      <c r="BZ41" s="53">
        <v>46283</v>
      </c>
      <c r="CA41" s="51">
        <v>46286</v>
      </c>
      <c r="CB41" s="52">
        <v>46287</v>
      </c>
      <c r="CC41" s="52">
        <v>46288</v>
      </c>
      <c r="CD41" s="52">
        <v>46289</v>
      </c>
      <c r="CE41" s="53">
        <v>46290</v>
      </c>
      <c r="CF41" s="51">
        <v>46293</v>
      </c>
      <c r="CG41" s="52">
        <v>46294</v>
      </c>
      <c r="CH41" s="52">
        <v>46295</v>
      </c>
      <c r="CI41" s="52">
        <v>46296</v>
      </c>
      <c r="CJ41" s="53">
        <v>46297</v>
      </c>
      <c r="CK41" s="51">
        <f t="shared" si="32"/>
        <v>46300</v>
      </c>
      <c r="CL41" s="52">
        <f t="shared" ref="CL41:CO42" si="497">CK41+1</f>
        <v>46301</v>
      </c>
      <c r="CM41" s="52">
        <f t="shared" si="497"/>
        <v>46302</v>
      </c>
      <c r="CN41" s="52">
        <f t="shared" si="497"/>
        <v>46303</v>
      </c>
      <c r="CO41" s="53">
        <f t="shared" si="497"/>
        <v>46304</v>
      </c>
      <c r="CP41" s="51">
        <f t="shared" si="61"/>
        <v>46307</v>
      </c>
      <c r="CQ41" s="52">
        <f t="shared" ref="CQ41:CT42" si="498">CP41+1</f>
        <v>46308</v>
      </c>
      <c r="CR41" s="52">
        <f t="shared" si="498"/>
        <v>46309</v>
      </c>
      <c r="CS41" s="52">
        <f t="shared" si="498"/>
        <v>46310</v>
      </c>
      <c r="CT41" s="53">
        <f t="shared" si="498"/>
        <v>46311</v>
      </c>
      <c r="CU41" s="51">
        <f t="shared" si="35"/>
        <v>46314</v>
      </c>
      <c r="CV41" s="52">
        <f t="shared" ref="CV41:CY42" si="499">CU41+1</f>
        <v>46315</v>
      </c>
      <c r="CW41" s="52">
        <f t="shared" si="499"/>
        <v>46316</v>
      </c>
      <c r="CX41" s="52">
        <f t="shared" si="499"/>
        <v>46317</v>
      </c>
      <c r="CY41" s="53">
        <f t="shared" si="499"/>
        <v>46318</v>
      </c>
      <c r="CZ41" s="51">
        <f t="shared" si="37"/>
        <v>46321</v>
      </c>
      <c r="DA41" s="52">
        <f t="shared" ref="DA41:DD42" si="500">CZ41+1</f>
        <v>46322</v>
      </c>
      <c r="DB41" s="52">
        <f t="shared" si="500"/>
        <v>46323</v>
      </c>
      <c r="DC41" s="52">
        <f t="shared" si="500"/>
        <v>46324</v>
      </c>
      <c r="DD41" s="53">
        <f t="shared" si="500"/>
        <v>46325</v>
      </c>
      <c r="DE41" s="51">
        <f t="shared" si="39"/>
        <v>46328</v>
      </c>
      <c r="DF41" s="52">
        <f t="shared" ref="DF41:DI42" si="501">DE41+1</f>
        <v>46329</v>
      </c>
      <c r="DG41" s="52">
        <f t="shared" si="501"/>
        <v>46330</v>
      </c>
      <c r="DH41" s="52">
        <f t="shared" si="501"/>
        <v>46331</v>
      </c>
      <c r="DI41" s="53">
        <f t="shared" si="501"/>
        <v>46332</v>
      </c>
      <c r="DJ41" s="51">
        <f t="shared" si="41"/>
        <v>46335</v>
      </c>
      <c r="DK41" s="52">
        <f t="shared" ref="DK41:DN42" si="502">DJ41+1</f>
        <v>46336</v>
      </c>
      <c r="DL41" s="52">
        <f t="shared" si="502"/>
        <v>46337</v>
      </c>
      <c r="DM41" s="52">
        <f t="shared" si="502"/>
        <v>46338</v>
      </c>
      <c r="DN41" s="53">
        <f t="shared" si="502"/>
        <v>46339</v>
      </c>
      <c r="DO41" s="51">
        <f t="shared" si="43"/>
        <v>46342</v>
      </c>
      <c r="DP41" s="52">
        <f t="shared" ref="DP41:DS42" si="503">DO41+1</f>
        <v>46343</v>
      </c>
      <c r="DQ41" s="52">
        <f t="shared" si="503"/>
        <v>46344</v>
      </c>
      <c r="DR41" s="52">
        <f t="shared" si="503"/>
        <v>46345</v>
      </c>
      <c r="DS41" s="53">
        <f t="shared" si="503"/>
        <v>46346</v>
      </c>
      <c r="DT41" s="51">
        <f t="shared" si="45"/>
        <v>46349</v>
      </c>
      <c r="DU41" s="52">
        <f t="shared" ref="DU41:DX42" si="504">DT41+1</f>
        <v>46350</v>
      </c>
      <c r="DV41" s="52">
        <f t="shared" si="504"/>
        <v>46351</v>
      </c>
      <c r="DW41" s="52">
        <f t="shared" si="504"/>
        <v>46352</v>
      </c>
      <c r="DX41" s="53">
        <f t="shared" si="504"/>
        <v>46353</v>
      </c>
      <c r="DY41" s="51">
        <f t="shared" si="47"/>
        <v>46356</v>
      </c>
      <c r="DZ41" s="52">
        <f t="shared" ref="DZ41:EC42" si="505">DY41+1</f>
        <v>46357</v>
      </c>
      <c r="EA41" s="52">
        <f t="shared" si="505"/>
        <v>46358</v>
      </c>
      <c r="EB41" s="52">
        <f t="shared" si="505"/>
        <v>46359</v>
      </c>
      <c r="EC41" s="53">
        <f t="shared" si="505"/>
        <v>46360</v>
      </c>
      <c r="ED41" s="51">
        <f t="shared" si="49"/>
        <v>46363</v>
      </c>
      <c r="EE41" s="52">
        <f t="shared" ref="EE41:EH42" si="506">ED41+1</f>
        <v>46364</v>
      </c>
      <c r="EF41" s="52">
        <f t="shared" si="506"/>
        <v>46365</v>
      </c>
      <c r="EG41" s="52">
        <f t="shared" si="506"/>
        <v>46366</v>
      </c>
      <c r="EH41" s="53">
        <f t="shared" si="506"/>
        <v>46367</v>
      </c>
      <c r="EI41" s="51">
        <f t="shared" si="51"/>
        <v>46370</v>
      </c>
      <c r="EJ41" s="52">
        <f t="shared" ref="EJ41:EM42" si="507">EI41+1</f>
        <v>46371</v>
      </c>
      <c r="EK41" s="52">
        <f t="shared" si="507"/>
        <v>46372</v>
      </c>
      <c r="EL41" s="52">
        <f t="shared" si="507"/>
        <v>46373</v>
      </c>
      <c r="EM41" s="53">
        <f t="shared" si="507"/>
        <v>46374</v>
      </c>
      <c r="EN41" s="51">
        <f t="shared" si="53"/>
        <v>46377</v>
      </c>
      <c r="EO41" s="52">
        <f t="shared" ref="EO41:ER42" si="508">EN41+1</f>
        <v>46378</v>
      </c>
      <c r="EP41" s="52">
        <f t="shared" si="508"/>
        <v>46379</v>
      </c>
      <c r="EQ41" s="52">
        <f t="shared" si="508"/>
        <v>46380</v>
      </c>
      <c r="ER41" s="53">
        <f t="shared" si="508"/>
        <v>46381</v>
      </c>
      <c r="ES41" s="51">
        <f t="shared" si="55"/>
        <v>46384</v>
      </c>
      <c r="ET41" s="52">
        <f t="shared" ref="ET41:EW42" si="509">ES41+1</f>
        <v>46385</v>
      </c>
      <c r="EU41" s="52">
        <f t="shared" si="509"/>
        <v>46386</v>
      </c>
      <c r="EV41" s="52">
        <f t="shared" si="509"/>
        <v>46387</v>
      </c>
      <c r="EW41" s="53">
        <f t="shared" si="509"/>
        <v>46388</v>
      </c>
      <c r="EX41" s="51">
        <f t="shared" si="57"/>
        <v>46391</v>
      </c>
      <c r="EY41" s="52">
        <f t="shared" si="58"/>
        <v>46392</v>
      </c>
      <c r="EZ41" s="52" t="e">
        <f t="shared" si="58"/>
        <v>#REF!</v>
      </c>
      <c r="FA41" s="52" t="e">
        <f t="shared" si="58"/>
        <v>#REF!</v>
      </c>
      <c r="FB41" s="53" t="e">
        <f t="shared" si="58"/>
        <v>#REF!</v>
      </c>
    </row>
    <row r="42" spans="1:158" ht="18" customHeight="1" outlineLevel="2">
      <c r="A42" s="26"/>
      <c r="B42" s="34"/>
      <c r="C42" s="34"/>
      <c r="D42" s="41" t="s">
        <v>138</v>
      </c>
      <c r="E42" s="42"/>
      <c r="F42" s="43"/>
      <c r="G42" s="60"/>
      <c r="H42" s="71" t="s">
        <v>18</v>
      </c>
      <c r="I42" s="71" t="s">
        <v>18</v>
      </c>
      <c r="J42" s="72" t="s">
        <v>18</v>
      </c>
      <c r="K42" s="73"/>
      <c r="L42" s="74"/>
      <c r="M42" s="46">
        <v>46280</v>
      </c>
      <c r="N42" s="47">
        <v>46304</v>
      </c>
      <c r="O42" s="48">
        <f>5/132/5/2+6/132/6+5/132/5</f>
        <v>1.893939393939394E-2</v>
      </c>
      <c r="P42" s="48"/>
      <c r="Q42" s="49"/>
      <c r="R42" s="48"/>
      <c r="S42" s="51">
        <f t="shared" si="30"/>
        <v>46202</v>
      </c>
      <c r="T42" s="52">
        <f t="shared" si="496"/>
        <v>46203</v>
      </c>
      <c r="U42" s="52">
        <f t="shared" si="496"/>
        <v>46204</v>
      </c>
      <c r="V42" s="52">
        <f t="shared" si="496"/>
        <v>46205</v>
      </c>
      <c r="W42" s="53">
        <f t="shared" si="496"/>
        <v>46206</v>
      </c>
      <c r="X42" s="51">
        <v>46209</v>
      </c>
      <c r="Y42" s="52">
        <v>46210</v>
      </c>
      <c r="Z42" s="52">
        <v>46211</v>
      </c>
      <c r="AA42" s="52">
        <v>46212</v>
      </c>
      <c r="AB42" s="53">
        <v>46213</v>
      </c>
      <c r="AC42" s="51">
        <v>46216</v>
      </c>
      <c r="AD42" s="52">
        <v>46217</v>
      </c>
      <c r="AE42" s="52">
        <v>46218</v>
      </c>
      <c r="AF42" s="52">
        <v>46219</v>
      </c>
      <c r="AG42" s="53">
        <v>46220</v>
      </c>
      <c r="AH42" s="51">
        <v>46223</v>
      </c>
      <c r="AI42" s="52">
        <v>46224</v>
      </c>
      <c r="AJ42" s="52">
        <v>46225</v>
      </c>
      <c r="AK42" s="52">
        <v>46226</v>
      </c>
      <c r="AL42" s="53">
        <v>46227</v>
      </c>
      <c r="AM42" s="51">
        <v>46230</v>
      </c>
      <c r="AN42" s="52">
        <v>46231</v>
      </c>
      <c r="AO42" s="52">
        <v>46232</v>
      </c>
      <c r="AP42" s="52">
        <v>46233</v>
      </c>
      <c r="AQ42" s="53">
        <v>46234</v>
      </c>
      <c r="AR42" s="51">
        <v>46237</v>
      </c>
      <c r="AS42" s="52">
        <v>46238</v>
      </c>
      <c r="AT42" s="52">
        <v>46239</v>
      </c>
      <c r="AU42" s="52">
        <v>46240</v>
      </c>
      <c r="AV42" s="53">
        <v>46241</v>
      </c>
      <c r="AW42" s="51">
        <v>46244</v>
      </c>
      <c r="AX42" s="52">
        <v>46245</v>
      </c>
      <c r="AY42" s="52">
        <v>46246</v>
      </c>
      <c r="AZ42" s="52">
        <v>46247</v>
      </c>
      <c r="BA42" s="53">
        <v>46248</v>
      </c>
      <c r="BB42" s="51">
        <v>46251</v>
      </c>
      <c r="BC42" s="52">
        <v>46252</v>
      </c>
      <c r="BD42" s="52">
        <v>46253</v>
      </c>
      <c r="BE42" s="52">
        <v>46254</v>
      </c>
      <c r="BF42" s="53">
        <v>46255</v>
      </c>
      <c r="BG42" s="51">
        <v>46258</v>
      </c>
      <c r="BH42" s="52">
        <v>46259</v>
      </c>
      <c r="BI42" s="52">
        <v>46260</v>
      </c>
      <c r="BJ42" s="52">
        <v>46261</v>
      </c>
      <c r="BK42" s="53">
        <v>46262</v>
      </c>
      <c r="BL42" s="51">
        <v>46265</v>
      </c>
      <c r="BM42" s="52">
        <v>46266</v>
      </c>
      <c r="BN42" s="52">
        <v>46267</v>
      </c>
      <c r="BO42" s="52">
        <v>46268</v>
      </c>
      <c r="BP42" s="53">
        <v>46269</v>
      </c>
      <c r="BQ42" s="51">
        <v>46272</v>
      </c>
      <c r="BR42" s="52">
        <v>46273</v>
      </c>
      <c r="BS42" s="52">
        <v>46274</v>
      </c>
      <c r="BT42" s="52">
        <v>46275</v>
      </c>
      <c r="BU42" s="53">
        <v>46276</v>
      </c>
      <c r="BV42" s="51">
        <v>46279</v>
      </c>
      <c r="BW42" s="52">
        <v>46280</v>
      </c>
      <c r="BX42" s="52">
        <v>46281</v>
      </c>
      <c r="BY42" s="52">
        <v>46282</v>
      </c>
      <c r="BZ42" s="53">
        <v>46283</v>
      </c>
      <c r="CA42" s="51">
        <v>46286</v>
      </c>
      <c r="CB42" s="52">
        <v>46287</v>
      </c>
      <c r="CC42" s="52">
        <v>46288</v>
      </c>
      <c r="CD42" s="52">
        <v>46289</v>
      </c>
      <c r="CE42" s="53">
        <v>46290</v>
      </c>
      <c r="CF42" s="51">
        <v>46293</v>
      </c>
      <c r="CG42" s="52">
        <v>46294</v>
      </c>
      <c r="CH42" s="52">
        <v>46295</v>
      </c>
      <c r="CI42" s="52">
        <v>46296</v>
      </c>
      <c r="CJ42" s="53">
        <v>46297</v>
      </c>
      <c r="CK42" s="51">
        <f t="shared" si="32"/>
        <v>46300</v>
      </c>
      <c r="CL42" s="52">
        <f t="shared" si="497"/>
        <v>46301</v>
      </c>
      <c r="CM42" s="52">
        <f t="shared" si="497"/>
        <v>46302</v>
      </c>
      <c r="CN42" s="52">
        <f t="shared" si="497"/>
        <v>46303</v>
      </c>
      <c r="CO42" s="53">
        <f t="shared" si="497"/>
        <v>46304</v>
      </c>
      <c r="CP42" s="51">
        <f t="shared" si="61"/>
        <v>46307</v>
      </c>
      <c r="CQ42" s="52">
        <f t="shared" si="498"/>
        <v>46308</v>
      </c>
      <c r="CR42" s="52">
        <f t="shared" si="498"/>
        <v>46309</v>
      </c>
      <c r="CS42" s="52">
        <f t="shared" si="498"/>
        <v>46310</v>
      </c>
      <c r="CT42" s="53">
        <f t="shared" si="498"/>
        <v>46311</v>
      </c>
      <c r="CU42" s="51">
        <f t="shared" si="35"/>
        <v>46314</v>
      </c>
      <c r="CV42" s="52">
        <f t="shared" si="499"/>
        <v>46315</v>
      </c>
      <c r="CW42" s="52">
        <f t="shared" si="499"/>
        <v>46316</v>
      </c>
      <c r="CX42" s="52">
        <f t="shared" si="499"/>
        <v>46317</v>
      </c>
      <c r="CY42" s="53">
        <f t="shared" si="499"/>
        <v>46318</v>
      </c>
      <c r="CZ42" s="51">
        <f t="shared" si="37"/>
        <v>46321</v>
      </c>
      <c r="DA42" s="52">
        <f t="shared" si="500"/>
        <v>46322</v>
      </c>
      <c r="DB42" s="52">
        <f t="shared" si="500"/>
        <v>46323</v>
      </c>
      <c r="DC42" s="52">
        <f t="shared" si="500"/>
        <v>46324</v>
      </c>
      <c r="DD42" s="53">
        <f t="shared" si="500"/>
        <v>46325</v>
      </c>
      <c r="DE42" s="51">
        <f t="shared" si="39"/>
        <v>46328</v>
      </c>
      <c r="DF42" s="52">
        <f t="shared" si="501"/>
        <v>46329</v>
      </c>
      <c r="DG42" s="52">
        <f t="shared" si="501"/>
        <v>46330</v>
      </c>
      <c r="DH42" s="52">
        <f t="shared" si="501"/>
        <v>46331</v>
      </c>
      <c r="DI42" s="53">
        <f t="shared" si="501"/>
        <v>46332</v>
      </c>
      <c r="DJ42" s="51">
        <f t="shared" si="41"/>
        <v>46335</v>
      </c>
      <c r="DK42" s="52">
        <f t="shared" si="502"/>
        <v>46336</v>
      </c>
      <c r="DL42" s="52">
        <f t="shared" si="502"/>
        <v>46337</v>
      </c>
      <c r="DM42" s="52">
        <f t="shared" si="502"/>
        <v>46338</v>
      </c>
      <c r="DN42" s="53">
        <f t="shared" si="502"/>
        <v>46339</v>
      </c>
      <c r="DO42" s="51">
        <f t="shared" si="43"/>
        <v>46342</v>
      </c>
      <c r="DP42" s="52">
        <f t="shared" si="503"/>
        <v>46343</v>
      </c>
      <c r="DQ42" s="52">
        <f t="shared" si="503"/>
        <v>46344</v>
      </c>
      <c r="DR42" s="52">
        <f t="shared" si="503"/>
        <v>46345</v>
      </c>
      <c r="DS42" s="53">
        <f t="shared" si="503"/>
        <v>46346</v>
      </c>
      <c r="DT42" s="51">
        <f t="shared" si="45"/>
        <v>46349</v>
      </c>
      <c r="DU42" s="52">
        <f t="shared" si="504"/>
        <v>46350</v>
      </c>
      <c r="DV42" s="52">
        <f t="shared" si="504"/>
        <v>46351</v>
      </c>
      <c r="DW42" s="52">
        <f t="shared" si="504"/>
        <v>46352</v>
      </c>
      <c r="DX42" s="53">
        <f t="shared" si="504"/>
        <v>46353</v>
      </c>
      <c r="DY42" s="51">
        <f t="shared" si="47"/>
        <v>46356</v>
      </c>
      <c r="DZ42" s="52">
        <f t="shared" si="505"/>
        <v>46357</v>
      </c>
      <c r="EA42" s="52">
        <f t="shared" si="505"/>
        <v>46358</v>
      </c>
      <c r="EB42" s="52">
        <f t="shared" si="505"/>
        <v>46359</v>
      </c>
      <c r="EC42" s="53">
        <f t="shared" si="505"/>
        <v>46360</v>
      </c>
      <c r="ED42" s="51">
        <f t="shared" si="49"/>
        <v>46363</v>
      </c>
      <c r="EE42" s="52">
        <f t="shared" si="506"/>
        <v>46364</v>
      </c>
      <c r="EF42" s="52">
        <f t="shared" si="506"/>
        <v>46365</v>
      </c>
      <c r="EG42" s="52">
        <f t="shared" si="506"/>
        <v>46366</v>
      </c>
      <c r="EH42" s="53">
        <f t="shared" si="506"/>
        <v>46367</v>
      </c>
      <c r="EI42" s="51">
        <f t="shared" si="51"/>
        <v>46370</v>
      </c>
      <c r="EJ42" s="52">
        <f t="shared" si="507"/>
        <v>46371</v>
      </c>
      <c r="EK42" s="52">
        <f t="shared" si="507"/>
        <v>46372</v>
      </c>
      <c r="EL42" s="52">
        <f t="shared" si="507"/>
        <v>46373</v>
      </c>
      <c r="EM42" s="53">
        <f t="shared" si="507"/>
        <v>46374</v>
      </c>
      <c r="EN42" s="51">
        <f t="shared" si="53"/>
        <v>46377</v>
      </c>
      <c r="EO42" s="52">
        <f t="shared" si="508"/>
        <v>46378</v>
      </c>
      <c r="EP42" s="52">
        <f t="shared" si="508"/>
        <v>46379</v>
      </c>
      <c r="EQ42" s="52">
        <f t="shared" si="508"/>
        <v>46380</v>
      </c>
      <c r="ER42" s="53">
        <f t="shared" si="508"/>
        <v>46381</v>
      </c>
      <c r="ES42" s="51">
        <f t="shared" si="55"/>
        <v>46384</v>
      </c>
      <c r="ET42" s="52">
        <f t="shared" si="509"/>
        <v>46385</v>
      </c>
      <c r="EU42" s="52">
        <f t="shared" si="509"/>
        <v>46386</v>
      </c>
      <c r="EV42" s="52">
        <f t="shared" si="509"/>
        <v>46387</v>
      </c>
      <c r="EW42" s="53">
        <f t="shared" si="509"/>
        <v>46388</v>
      </c>
      <c r="EX42" s="51">
        <f t="shared" si="57"/>
        <v>46391</v>
      </c>
      <c r="EY42" s="52">
        <f t="shared" si="58"/>
        <v>46392</v>
      </c>
      <c r="EZ42" s="52">
        <f t="shared" si="58"/>
        <v>46393</v>
      </c>
      <c r="FA42" s="52" t="e">
        <f t="shared" si="58"/>
        <v>#REF!</v>
      </c>
      <c r="FB42" s="53" t="e">
        <f t="shared" si="58"/>
        <v>#REF!</v>
      </c>
    </row>
    <row r="43" spans="1:158" ht="18" customHeight="1" outlineLevel="2">
      <c r="A43" s="26"/>
      <c r="B43" s="34"/>
      <c r="C43" s="34"/>
      <c r="D43" s="2" t="s">
        <v>143</v>
      </c>
      <c r="E43" s="42"/>
      <c r="F43" s="43"/>
      <c r="G43" s="60"/>
      <c r="H43" s="71" t="s">
        <v>18</v>
      </c>
      <c r="I43" s="71" t="s">
        <v>18</v>
      </c>
      <c r="J43" s="72" t="s">
        <v>18</v>
      </c>
      <c r="K43" s="73"/>
      <c r="L43" s="74"/>
      <c r="M43" s="46">
        <v>46280</v>
      </c>
      <c r="N43" s="47">
        <v>46304</v>
      </c>
      <c r="O43" s="48">
        <f>5/132/5/2+6/132/6+5/132/5</f>
        <v>1.893939393939394E-2</v>
      </c>
      <c r="P43" s="14"/>
      <c r="Q43" s="15"/>
      <c r="R43" s="14"/>
      <c r="S43" s="51">
        <f t="shared" si="30"/>
        <v>46202</v>
      </c>
      <c r="T43" s="52">
        <f t="shared" ref="T43:W44" si="510">S43+1</f>
        <v>46203</v>
      </c>
      <c r="U43" s="52">
        <f t="shared" si="510"/>
        <v>46204</v>
      </c>
      <c r="V43" s="52">
        <f t="shared" si="510"/>
        <v>46205</v>
      </c>
      <c r="W43" s="53">
        <f t="shared" si="510"/>
        <v>46206</v>
      </c>
      <c r="X43" s="51">
        <v>46209</v>
      </c>
      <c r="Y43" s="52">
        <v>46210</v>
      </c>
      <c r="Z43" s="52">
        <v>46211</v>
      </c>
      <c r="AA43" s="52">
        <v>46212</v>
      </c>
      <c r="AB43" s="53">
        <v>46213</v>
      </c>
      <c r="AC43" s="51">
        <v>46216</v>
      </c>
      <c r="AD43" s="52">
        <v>46217</v>
      </c>
      <c r="AE43" s="52">
        <v>46218</v>
      </c>
      <c r="AF43" s="52">
        <v>46219</v>
      </c>
      <c r="AG43" s="53">
        <v>46220</v>
      </c>
      <c r="AH43" s="51">
        <v>46223</v>
      </c>
      <c r="AI43" s="52">
        <v>46224</v>
      </c>
      <c r="AJ43" s="52">
        <v>46225</v>
      </c>
      <c r="AK43" s="52">
        <v>46226</v>
      </c>
      <c r="AL43" s="53">
        <v>46227</v>
      </c>
      <c r="AM43" s="51">
        <v>46230</v>
      </c>
      <c r="AN43" s="52">
        <v>46231</v>
      </c>
      <c r="AO43" s="52">
        <v>46232</v>
      </c>
      <c r="AP43" s="52">
        <v>46233</v>
      </c>
      <c r="AQ43" s="53">
        <v>46234</v>
      </c>
      <c r="AR43" s="51">
        <v>46237</v>
      </c>
      <c r="AS43" s="52">
        <v>46238</v>
      </c>
      <c r="AT43" s="52">
        <v>46239</v>
      </c>
      <c r="AU43" s="52">
        <v>46240</v>
      </c>
      <c r="AV43" s="53">
        <v>46241</v>
      </c>
      <c r="AW43" s="51">
        <v>46244</v>
      </c>
      <c r="AX43" s="52">
        <v>46245</v>
      </c>
      <c r="AY43" s="52">
        <v>46246</v>
      </c>
      <c r="AZ43" s="52">
        <v>46247</v>
      </c>
      <c r="BA43" s="53">
        <v>46248</v>
      </c>
      <c r="BB43" s="51">
        <v>46251</v>
      </c>
      <c r="BC43" s="52">
        <v>46252</v>
      </c>
      <c r="BD43" s="52">
        <v>46253</v>
      </c>
      <c r="BE43" s="52">
        <v>46254</v>
      </c>
      <c r="BF43" s="53">
        <v>46255</v>
      </c>
      <c r="BG43" s="51">
        <v>46258</v>
      </c>
      <c r="BH43" s="52">
        <v>46259</v>
      </c>
      <c r="BI43" s="52">
        <v>46260</v>
      </c>
      <c r="BJ43" s="52">
        <v>46261</v>
      </c>
      <c r="BK43" s="53">
        <v>46262</v>
      </c>
      <c r="BL43" s="51">
        <v>46265</v>
      </c>
      <c r="BM43" s="52">
        <v>46266</v>
      </c>
      <c r="BN43" s="52">
        <v>46267</v>
      </c>
      <c r="BO43" s="52">
        <v>46268</v>
      </c>
      <c r="BP43" s="53">
        <v>46269</v>
      </c>
      <c r="BQ43" s="51">
        <v>46272</v>
      </c>
      <c r="BR43" s="52">
        <v>46273</v>
      </c>
      <c r="BS43" s="52">
        <v>46274</v>
      </c>
      <c r="BT43" s="52">
        <v>46275</v>
      </c>
      <c r="BU43" s="53">
        <v>46276</v>
      </c>
      <c r="BV43" s="51">
        <v>46279</v>
      </c>
      <c r="BW43" s="52">
        <v>46280</v>
      </c>
      <c r="BX43" s="52">
        <v>46281</v>
      </c>
      <c r="BY43" s="52">
        <v>46282</v>
      </c>
      <c r="BZ43" s="53">
        <v>46283</v>
      </c>
      <c r="CA43" s="51">
        <v>46286</v>
      </c>
      <c r="CB43" s="52">
        <v>46287</v>
      </c>
      <c r="CC43" s="52">
        <v>46288</v>
      </c>
      <c r="CD43" s="52">
        <v>46289</v>
      </c>
      <c r="CE43" s="53">
        <v>46290</v>
      </c>
      <c r="CF43" s="51">
        <v>46293</v>
      </c>
      <c r="CG43" s="52">
        <v>46294</v>
      </c>
      <c r="CH43" s="52">
        <v>46295</v>
      </c>
      <c r="CI43" s="52">
        <v>46296</v>
      </c>
      <c r="CJ43" s="53">
        <v>46297</v>
      </c>
      <c r="CK43" s="51">
        <f t="shared" si="32"/>
        <v>46300</v>
      </c>
      <c r="CL43" s="52">
        <f t="shared" ref="CL43:CO44" si="511">CK43+1</f>
        <v>46301</v>
      </c>
      <c r="CM43" s="52">
        <f t="shared" si="511"/>
        <v>46302</v>
      </c>
      <c r="CN43" s="52">
        <f t="shared" si="511"/>
        <v>46303</v>
      </c>
      <c r="CO43" s="53">
        <f t="shared" si="511"/>
        <v>46304</v>
      </c>
      <c r="CP43" s="51">
        <f t="shared" si="61"/>
        <v>46307</v>
      </c>
      <c r="CQ43" s="52">
        <f t="shared" ref="CQ43:CT44" si="512">CP43+1</f>
        <v>46308</v>
      </c>
      <c r="CR43" s="52">
        <f t="shared" si="512"/>
        <v>46309</v>
      </c>
      <c r="CS43" s="52">
        <f t="shared" si="512"/>
        <v>46310</v>
      </c>
      <c r="CT43" s="53">
        <f t="shared" si="512"/>
        <v>46311</v>
      </c>
      <c r="CU43" s="51">
        <f t="shared" si="35"/>
        <v>46314</v>
      </c>
      <c r="CV43" s="52">
        <f t="shared" ref="CV43:CY44" si="513">CU43+1</f>
        <v>46315</v>
      </c>
      <c r="CW43" s="52">
        <f t="shared" si="513"/>
        <v>46316</v>
      </c>
      <c r="CX43" s="52">
        <f t="shared" si="513"/>
        <v>46317</v>
      </c>
      <c r="CY43" s="53">
        <f t="shared" si="513"/>
        <v>46318</v>
      </c>
      <c r="CZ43" s="51">
        <f t="shared" si="37"/>
        <v>46321</v>
      </c>
      <c r="DA43" s="52">
        <f t="shared" ref="DA43:DD44" si="514">CZ43+1</f>
        <v>46322</v>
      </c>
      <c r="DB43" s="52">
        <f t="shared" si="514"/>
        <v>46323</v>
      </c>
      <c r="DC43" s="52">
        <f t="shared" si="514"/>
        <v>46324</v>
      </c>
      <c r="DD43" s="53">
        <f t="shared" si="514"/>
        <v>46325</v>
      </c>
      <c r="DE43" s="51">
        <f t="shared" si="39"/>
        <v>46328</v>
      </c>
      <c r="DF43" s="52">
        <f t="shared" ref="DF43:DI44" si="515">DE43+1</f>
        <v>46329</v>
      </c>
      <c r="DG43" s="52">
        <f t="shared" si="515"/>
        <v>46330</v>
      </c>
      <c r="DH43" s="52">
        <f t="shared" si="515"/>
        <v>46331</v>
      </c>
      <c r="DI43" s="53">
        <f t="shared" si="515"/>
        <v>46332</v>
      </c>
      <c r="DJ43" s="51">
        <f t="shared" si="41"/>
        <v>46335</v>
      </c>
      <c r="DK43" s="52">
        <f t="shared" ref="DK43:DN44" si="516">DJ43+1</f>
        <v>46336</v>
      </c>
      <c r="DL43" s="52">
        <f t="shared" si="516"/>
        <v>46337</v>
      </c>
      <c r="DM43" s="52">
        <f t="shared" si="516"/>
        <v>46338</v>
      </c>
      <c r="DN43" s="53">
        <f t="shared" si="516"/>
        <v>46339</v>
      </c>
      <c r="DO43" s="51">
        <f t="shared" si="43"/>
        <v>46342</v>
      </c>
      <c r="DP43" s="52">
        <f t="shared" ref="DP43:DS44" si="517">DO43+1</f>
        <v>46343</v>
      </c>
      <c r="DQ43" s="52">
        <f t="shared" si="517"/>
        <v>46344</v>
      </c>
      <c r="DR43" s="52">
        <f t="shared" si="517"/>
        <v>46345</v>
      </c>
      <c r="DS43" s="53">
        <f t="shared" si="517"/>
        <v>46346</v>
      </c>
      <c r="DT43" s="51">
        <f t="shared" si="45"/>
        <v>46349</v>
      </c>
      <c r="DU43" s="52">
        <f t="shared" ref="DU43:DX44" si="518">DT43+1</f>
        <v>46350</v>
      </c>
      <c r="DV43" s="52">
        <f t="shared" si="518"/>
        <v>46351</v>
      </c>
      <c r="DW43" s="52">
        <f t="shared" si="518"/>
        <v>46352</v>
      </c>
      <c r="DX43" s="53">
        <f t="shared" si="518"/>
        <v>46353</v>
      </c>
      <c r="DY43" s="51">
        <f t="shared" si="47"/>
        <v>46356</v>
      </c>
      <c r="DZ43" s="52">
        <f t="shared" ref="DZ43:EC44" si="519">DY43+1</f>
        <v>46357</v>
      </c>
      <c r="EA43" s="52">
        <f t="shared" si="519"/>
        <v>46358</v>
      </c>
      <c r="EB43" s="52">
        <f t="shared" si="519"/>
        <v>46359</v>
      </c>
      <c r="EC43" s="53">
        <f t="shared" si="519"/>
        <v>46360</v>
      </c>
      <c r="ED43" s="51">
        <f t="shared" si="49"/>
        <v>46363</v>
      </c>
      <c r="EE43" s="52">
        <f t="shared" ref="EE43:EH44" si="520">ED43+1</f>
        <v>46364</v>
      </c>
      <c r="EF43" s="52">
        <f t="shared" si="520"/>
        <v>46365</v>
      </c>
      <c r="EG43" s="52">
        <f t="shared" si="520"/>
        <v>46366</v>
      </c>
      <c r="EH43" s="53">
        <f t="shared" si="520"/>
        <v>46367</v>
      </c>
      <c r="EI43" s="51">
        <f t="shared" si="51"/>
        <v>46370</v>
      </c>
      <c r="EJ43" s="52">
        <f t="shared" ref="EJ43:EM44" si="521">EI43+1</f>
        <v>46371</v>
      </c>
      <c r="EK43" s="52">
        <f t="shared" si="521"/>
        <v>46372</v>
      </c>
      <c r="EL43" s="52">
        <f t="shared" si="521"/>
        <v>46373</v>
      </c>
      <c r="EM43" s="53">
        <f t="shared" si="521"/>
        <v>46374</v>
      </c>
      <c r="EN43" s="51">
        <f t="shared" si="53"/>
        <v>46377</v>
      </c>
      <c r="EO43" s="52">
        <f t="shared" ref="EO43:ER44" si="522">EN43+1</f>
        <v>46378</v>
      </c>
      <c r="EP43" s="52">
        <f t="shared" si="522"/>
        <v>46379</v>
      </c>
      <c r="EQ43" s="52">
        <f t="shared" si="522"/>
        <v>46380</v>
      </c>
      <c r="ER43" s="53">
        <f t="shared" si="522"/>
        <v>46381</v>
      </c>
      <c r="ES43" s="51">
        <f t="shared" si="55"/>
        <v>46384</v>
      </c>
      <c r="ET43" s="52">
        <f t="shared" ref="ET43:EW44" si="523">ES43+1</f>
        <v>46385</v>
      </c>
      <c r="EU43" s="52">
        <f t="shared" si="523"/>
        <v>46386</v>
      </c>
      <c r="EV43" s="52">
        <f t="shared" si="523"/>
        <v>46387</v>
      </c>
      <c r="EW43" s="53">
        <f t="shared" si="523"/>
        <v>46388</v>
      </c>
      <c r="EX43" s="51">
        <f t="shared" si="57"/>
        <v>46391</v>
      </c>
      <c r="EY43" s="52">
        <f t="shared" ref="EY43:FB44" si="524">EX40+1</f>
        <v>46392</v>
      </c>
      <c r="EZ43" s="52" t="e">
        <f t="shared" si="524"/>
        <v>#REF!</v>
      </c>
      <c r="FA43" s="52" t="e">
        <f t="shared" si="524"/>
        <v>#REF!</v>
      </c>
      <c r="FB43" s="53" t="e">
        <f t="shared" si="524"/>
        <v>#REF!</v>
      </c>
    </row>
    <row r="44" spans="1:158" ht="18" customHeight="1" outlineLevel="2">
      <c r="A44" s="26"/>
      <c r="B44" s="34"/>
      <c r="C44" s="34"/>
      <c r="D44" s="63" t="s">
        <v>139</v>
      </c>
      <c r="E44" s="42"/>
      <c r="F44" s="43"/>
      <c r="G44" s="60"/>
      <c r="H44" s="71" t="s">
        <v>18</v>
      </c>
      <c r="I44" s="71" t="s">
        <v>18</v>
      </c>
      <c r="J44" s="72" t="s">
        <v>18</v>
      </c>
      <c r="K44" s="73"/>
      <c r="L44" s="74"/>
      <c r="M44" s="46">
        <v>46280</v>
      </c>
      <c r="N44" s="47">
        <v>46304</v>
      </c>
      <c r="O44" s="48">
        <f>5/132/5/2+6/132/6+5/132/5</f>
        <v>1.893939393939394E-2</v>
      </c>
      <c r="P44" s="14"/>
      <c r="Q44" s="15"/>
      <c r="R44" s="14"/>
      <c r="S44" s="51">
        <f t="shared" si="30"/>
        <v>46202</v>
      </c>
      <c r="T44" s="52">
        <f t="shared" si="510"/>
        <v>46203</v>
      </c>
      <c r="U44" s="52">
        <f t="shared" si="510"/>
        <v>46204</v>
      </c>
      <c r="V44" s="52">
        <f t="shared" si="510"/>
        <v>46205</v>
      </c>
      <c r="W44" s="53">
        <f t="shared" si="510"/>
        <v>46206</v>
      </c>
      <c r="X44" s="51">
        <v>46209</v>
      </c>
      <c r="Y44" s="52">
        <v>46210</v>
      </c>
      <c r="Z44" s="52">
        <v>46211</v>
      </c>
      <c r="AA44" s="52">
        <v>46212</v>
      </c>
      <c r="AB44" s="53">
        <v>46213</v>
      </c>
      <c r="AC44" s="51">
        <v>46216</v>
      </c>
      <c r="AD44" s="52">
        <v>46217</v>
      </c>
      <c r="AE44" s="52">
        <v>46218</v>
      </c>
      <c r="AF44" s="52">
        <v>46219</v>
      </c>
      <c r="AG44" s="53">
        <v>46220</v>
      </c>
      <c r="AH44" s="51">
        <v>46223</v>
      </c>
      <c r="AI44" s="52">
        <v>46224</v>
      </c>
      <c r="AJ44" s="52">
        <v>46225</v>
      </c>
      <c r="AK44" s="52">
        <v>46226</v>
      </c>
      <c r="AL44" s="53">
        <v>46227</v>
      </c>
      <c r="AM44" s="51">
        <v>46230</v>
      </c>
      <c r="AN44" s="52">
        <v>46231</v>
      </c>
      <c r="AO44" s="52">
        <v>46232</v>
      </c>
      <c r="AP44" s="52">
        <v>46233</v>
      </c>
      <c r="AQ44" s="53">
        <v>46234</v>
      </c>
      <c r="AR44" s="51">
        <v>46237</v>
      </c>
      <c r="AS44" s="52">
        <v>46238</v>
      </c>
      <c r="AT44" s="52">
        <v>46239</v>
      </c>
      <c r="AU44" s="52">
        <v>46240</v>
      </c>
      <c r="AV44" s="53">
        <v>46241</v>
      </c>
      <c r="AW44" s="51">
        <v>46244</v>
      </c>
      <c r="AX44" s="52">
        <v>46245</v>
      </c>
      <c r="AY44" s="52">
        <v>46246</v>
      </c>
      <c r="AZ44" s="52">
        <v>46247</v>
      </c>
      <c r="BA44" s="53">
        <v>46248</v>
      </c>
      <c r="BB44" s="51">
        <v>46251</v>
      </c>
      <c r="BC44" s="52">
        <v>46252</v>
      </c>
      <c r="BD44" s="52">
        <v>46253</v>
      </c>
      <c r="BE44" s="52">
        <v>46254</v>
      </c>
      <c r="BF44" s="53">
        <v>46255</v>
      </c>
      <c r="BG44" s="51">
        <v>46258</v>
      </c>
      <c r="BH44" s="52">
        <v>46259</v>
      </c>
      <c r="BI44" s="52">
        <v>46260</v>
      </c>
      <c r="BJ44" s="52">
        <v>46261</v>
      </c>
      <c r="BK44" s="53">
        <v>46262</v>
      </c>
      <c r="BL44" s="51">
        <v>46265</v>
      </c>
      <c r="BM44" s="52">
        <v>46266</v>
      </c>
      <c r="BN44" s="52">
        <v>46267</v>
      </c>
      <c r="BO44" s="52">
        <v>46268</v>
      </c>
      <c r="BP44" s="53">
        <v>46269</v>
      </c>
      <c r="BQ44" s="51">
        <v>46272</v>
      </c>
      <c r="BR44" s="52">
        <v>46273</v>
      </c>
      <c r="BS44" s="52">
        <v>46274</v>
      </c>
      <c r="BT44" s="52">
        <v>46275</v>
      </c>
      <c r="BU44" s="53">
        <v>46276</v>
      </c>
      <c r="BV44" s="51">
        <v>46279</v>
      </c>
      <c r="BW44" s="52">
        <v>46280</v>
      </c>
      <c r="BX44" s="52">
        <v>46281</v>
      </c>
      <c r="BY44" s="52">
        <v>46282</v>
      </c>
      <c r="BZ44" s="53">
        <v>46283</v>
      </c>
      <c r="CA44" s="51">
        <v>46286</v>
      </c>
      <c r="CB44" s="52">
        <v>46287</v>
      </c>
      <c r="CC44" s="52">
        <v>46288</v>
      </c>
      <c r="CD44" s="52">
        <v>46289</v>
      </c>
      <c r="CE44" s="53">
        <v>46290</v>
      </c>
      <c r="CF44" s="51">
        <v>46293</v>
      </c>
      <c r="CG44" s="52">
        <v>46294</v>
      </c>
      <c r="CH44" s="52">
        <v>46295</v>
      </c>
      <c r="CI44" s="52">
        <v>46296</v>
      </c>
      <c r="CJ44" s="53">
        <v>46297</v>
      </c>
      <c r="CK44" s="51">
        <f t="shared" si="32"/>
        <v>46300</v>
      </c>
      <c r="CL44" s="52">
        <f t="shared" si="511"/>
        <v>46301</v>
      </c>
      <c r="CM44" s="52">
        <f t="shared" si="511"/>
        <v>46302</v>
      </c>
      <c r="CN44" s="52">
        <f t="shared" si="511"/>
        <v>46303</v>
      </c>
      <c r="CO44" s="53">
        <f t="shared" si="511"/>
        <v>46304</v>
      </c>
      <c r="CP44" s="51">
        <f t="shared" si="61"/>
        <v>46307</v>
      </c>
      <c r="CQ44" s="52">
        <f t="shared" si="512"/>
        <v>46308</v>
      </c>
      <c r="CR44" s="52">
        <f t="shared" si="512"/>
        <v>46309</v>
      </c>
      <c r="CS44" s="52">
        <f t="shared" si="512"/>
        <v>46310</v>
      </c>
      <c r="CT44" s="53">
        <f t="shared" si="512"/>
        <v>46311</v>
      </c>
      <c r="CU44" s="51">
        <f t="shared" si="35"/>
        <v>46314</v>
      </c>
      <c r="CV44" s="52">
        <f t="shared" si="513"/>
        <v>46315</v>
      </c>
      <c r="CW44" s="52">
        <f t="shared" si="513"/>
        <v>46316</v>
      </c>
      <c r="CX44" s="52">
        <f t="shared" si="513"/>
        <v>46317</v>
      </c>
      <c r="CY44" s="53">
        <f t="shared" si="513"/>
        <v>46318</v>
      </c>
      <c r="CZ44" s="51">
        <f t="shared" si="37"/>
        <v>46321</v>
      </c>
      <c r="DA44" s="52">
        <f t="shared" si="514"/>
        <v>46322</v>
      </c>
      <c r="DB44" s="52">
        <f t="shared" si="514"/>
        <v>46323</v>
      </c>
      <c r="DC44" s="52">
        <f t="shared" si="514"/>
        <v>46324</v>
      </c>
      <c r="DD44" s="53">
        <f t="shared" si="514"/>
        <v>46325</v>
      </c>
      <c r="DE44" s="51">
        <f t="shared" si="39"/>
        <v>46328</v>
      </c>
      <c r="DF44" s="52">
        <f t="shared" si="515"/>
        <v>46329</v>
      </c>
      <c r="DG44" s="52">
        <f t="shared" si="515"/>
        <v>46330</v>
      </c>
      <c r="DH44" s="52">
        <f t="shared" si="515"/>
        <v>46331</v>
      </c>
      <c r="DI44" s="53">
        <f t="shared" si="515"/>
        <v>46332</v>
      </c>
      <c r="DJ44" s="51">
        <f t="shared" si="41"/>
        <v>46335</v>
      </c>
      <c r="DK44" s="52">
        <f t="shared" si="516"/>
        <v>46336</v>
      </c>
      <c r="DL44" s="52">
        <f t="shared" si="516"/>
        <v>46337</v>
      </c>
      <c r="DM44" s="52">
        <f t="shared" si="516"/>
        <v>46338</v>
      </c>
      <c r="DN44" s="53">
        <f t="shared" si="516"/>
        <v>46339</v>
      </c>
      <c r="DO44" s="51">
        <f t="shared" si="43"/>
        <v>46342</v>
      </c>
      <c r="DP44" s="52">
        <f t="shared" si="517"/>
        <v>46343</v>
      </c>
      <c r="DQ44" s="52">
        <f t="shared" si="517"/>
        <v>46344</v>
      </c>
      <c r="DR44" s="52">
        <f t="shared" si="517"/>
        <v>46345</v>
      </c>
      <c r="DS44" s="53">
        <f t="shared" si="517"/>
        <v>46346</v>
      </c>
      <c r="DT44" s="51">
        <f t="shared" si="45"/>
        <v>46349</v>
      </c>
      <c r="DU44" s="52">
        <f t="shared" si="518"/>
        <v>46350</v>
      </c>
      <c r="DV44" s="52">
        <f t="shared" si="518"/>
        <v>46351</v>
      </c>
      <c r="DW44" s="52">
        <f t="shared" si="518"/>
        <v>46352</v>
      </c>
      <c r="DX44" s="53">
        <f t="shared" si="518"/>
        <v>46353</v>
      </c>
      <c r="DY44" s="51">
        <f t="shared" si="47"/>
        <v>46356</v>
      </c>
      <c r="DZ44" s="52">
        <f t="shared" si="519"/>
        <v>46357</v>
      </c>
      <c r="EA44" s="52">
        <f t="shared" si="519"/>
        <v>46358</v>
      </c>
      <c r="EB44" s="52">
        <f t="shared" si="519"/>
        <v>46359</v>
      </c>
      <c r="EC44" s="53">
        <f t="shared" si="519"/>
        <v>46360</v>
      </c>
      <c r="ED44" s="51">
        <f t="shared" si="49"/>
        <v>46363</v>
      </c>
      <c r="EE44" s="52">
        <f t="shared" si="520"/>
        <v>46364</v>
      </c>
      <c r="EF44" s="52">
        <f t="shared" si="520"/>
        <v>46365</v>
      </c>
      <c r="EG44" s="52">
        <f t="shared" si="520"/>
        <v>46366</v>
      </c>
      <c r="EH44" s="53">
        <f t="shared" si="520"/>
        <v>46367</v>
      </c>
      <c r="EI44" s="51">
        <f t="shared" si="51"/>
        <v>46370</v>
      </c>
      <c r="EJ44" s="52">
        <f t="shared" si="521"/>
        <v>46371</v>
      </c>
      <c r="EK44" s="52">
        <f t="shared" si="521"/>
        <v>46372</v>
      </c>
      <c r="EL44" s="52">
        <f t="shared" si="521"/>
        <v>46373</v>
      </c>
      <c r="EM44" s="53">
        <f t="shared" si="521"/>
        <v>46374</v>
      </c>
      <c r="EN44" s="51">
        <f t="shared" si="53"/>
        <v>46377</v>
      </c>
      <c r="EO44" s="52">
        <f t="shared" si="522"/>
        <v>46378</v>
      </c>
      <c r="EP44" s="52">
        <f t="shared" si="522"/>
        <v>46379</v>
      </c>
      <c r="EQ44" s="52">
        <f t="shared" si="522"/>
        <v>46380</v>
      </c>
      <c r="ER44" s="53">
        <f t="shared" si="522"/>
        <v>46381</v>
      </c>
      <c r="ES44" s="51">
        <f t="shared" si="55"/>
        <v>46384</v>
      </c>
      <c r="ET44" s="52">
        <f t="shared" si="523"/>
        <v>46385</v>
      </c>
      <c r="EU44" s="52">
        <f t="shared" si="523"/>
        <v>46386</v>
      </c>
      <c r="EV44" s="52">
        <f t="shared" si="523"/>
        <v>46387</v>
      </c>
      <c r="EW44" s="53">
        <f t="shared" si="523"/>
        <v>46388</v>
      </c>
      <c r="EX44" s="51">
        <f t="shared" si="57"/>
        <v>46391</v>
      </c>
      <c r="EY44" s="52">
        <f t="shared" si="524"/>
        <v>46392</v>
      </c>
      <c r="EZ44" s="52">
        <f t="shared" si="524"/>
        <v>46393</v>
      </c>
      <c r="FA44" s="52" t="e">
        <f t="shared" si="524"/>
        <v>#REF!</v>
      </c>
      <c r="FB44" s="53" t="e">
        <f t="shared" si="524"/>
        <v>#REF!</v>
      </c>
    </row>
    <row r="45" spans="1:158" ht="17.25" customHeight="1" outlineLevel="1">
      <c r="A45" s="26"/>
      <c r="B45" s="34"/>
      <c r="C45" s="35" t="s">
        <v>107</v>
      </c>
      <c r="D45" s="36"/>
      <c r="E45" s="37"/>
      <c r="F45" s="38"/>
      <c r="G45" s="59"/>
      <c r="H45" s="67"/>
      <c r="I45" s="67"/>
      <c r="J45" s="68"/>
      <c r="K45" s="69"/>
      <c r="L45" s="70"/>
      <c r="M45" s="39">
        <f>MIN(M46:M47)</f>
        <v>46251</v>
      </c>
      <c r="N45" s="40">
        <f>MAX(N46:N47)</f>
        <v>46304</v>
      </c>
      <c r="O45" s="24">
        <f>SUM(O46:O47)</f>
        <v>5.0252525252525257E-2</v>
      </c>
      <c r="P45" s="24"/>
      <c r="Q45" s="24"/>
      <c r="R45" s="24"/>
      <c r="S45" s="51">
        <f t="shared" si="30"/>
        <v>46202</v>
      </c>
      <c r="T45" s="52">
        <f t="shared" ref="T45:W45" si="525">S45+1</f>
        <v>46203</v>
      </c>
      <c r="U45" s="52">
        <f t="shared" si="525"/>
        <v>46204</v>
      </c>
      <c r="V45" s="52">
        <f t="shared" si="525"/>
        <v>46205</v>
      </c>
      <c r="W45" s="53">
        <f t="shared" si="525"/>
        <v>46206</v>
      </c>
      <c r="X45" s="51">
        <v>46209</v>
      </c>
      <c r="Y45" s="52">
        <v>46210</v>
      </c>
      <c r="Z45" s="52">
        <v>46211</v>
      </c>
      <c r="AA45" s="52">
        <v>46212</v>
      </c>
      <c r="AB45" s="53">
        <v>46213</v>
      </c>
      <c r="AC45" s="51">
        <v>46216</v>
      </c>
      <c r="AD45" s="52">
        <v>46217</v>
      </c>
      <c r="AE45" s="52">
        <v>46218</v>
      </c>
      <c r="AF45" s="52">
        <v>46219</v>
      </c>
      <c r="AG45" s="53">
        <v>46220</v>
      </c>
      <c r="AH45" s="51">
        <v>46223</v>
      </c>
      <c r="AI45" s="52">
        <v>46224</v>
      </c>
      <c r="AJ45" s="52">
        <v>46225</v>
      </c>
      <c r="AK45" s="52">
        <v>46226</v>
      </c>
      <c r="AL45" s="53">
        <v>46227</v>
      </c>
      <c r="AM45" s="51">
        <v>46230</v>
      </c>
      <c r="AN45" s="52">
        <v>46231</v>
      </c>
      <c r="AO45" s="52">
        <v>46232</v>
      </c>
      <c r="AP45" s="52">
        <v>46233</v>
      </c>
      <c r="AQ45" s="53">
        <v>46234</v>
      </c>
      <c r="AR45" s="51">
        <v>46237</v>
      </c>
      <c r="AS45" s="52">
        <v>46238</v>
      </c>
      <c r="AT45" s="52">
        <v>46239</v>
      </c>
      <c r="AU45" s="52">
        <v>46240</v>
      </c>
      <c r="AV45" s="53">
        <v>46241</v>
      </c>
      <c r="AW45" s="51">
        <v>46244</v>
      </c>
      <c r="AX45" s="52">
        <v>46245</v>
      </c>
      <c r="AY45" s="52">
        <v>46246</v>
      </c>
      <c r="AZ45" s="52">
        <v>46247</v>
      </c>
      <c r="BA45" s="53">
        <v>46248</v>
      </c>
      <c r="BB45" s="51">
        <v>46251</v>
      </c>
      <c r="BC45" s="52">
        <v>46252</v>
      </c>
      <c r="BD45" s="52">
        <v>46253</v>
      </c>
      <c r="BE45" s="52">
        <v>46254</v>
      </c>
      <c r="BF45" s="53">
        <v>46255</v>
      </c>
      <c r="BG45" s="51">
        <v>46258</v>
      </c>
      <c r="BH45" s="52">
        <v>46259</v>
      </c>
      <c r="BI45" s="52">
        <v>46260</v>
      </c>
      <c r="BJ45" s="52">
        <v>46261</v>
      </c>
      <c r="BK45" s="53">
        <v>46262</v>
      </c>
      <c r="BL45" s="51">
        <v>46265</v>
      </c>
      <c r="BM45" s="52">
        <v>46266</v>
      </c>
      <c r="BN45" s="52">
        <v>46267</v>
      </c>
      <c r="BO45" s="52">
        <v>46268</v>
      </c>
      <c r="BP45" s="53">
        <v>46269</v>
      </c>
      <c r="BQ45" s="51">
        <v>46272</v>
      </c>
      <c r="BR45" s="52">
        <v>46273</v>
      </c>
      <c r="BS45" s="52">
        <v>46274</v>
      </c>
      <c r="BT45" s="52">
        <v>46275</v>
      </c>
      <c r="BU45" s="53">
        <v>46276</v>
      </c>
      <c r="BV45" s="51">
        <v>46279</v>
      </c>
      <c r="BW45" s="52">
        <v>46280</v>
      </c>
      <c r="BX45" s="52">
        <v>46281</v>
      </c>
      <c r="BY45" s="52">
        <v>46282</v>
      </c>
      <c r="BZ45" s="53">
        <v>46283</v>
      </c>
      <c r="CA45" s="51">
        <v>46286</v>
      </c>
      <c r="CB45" s="52">
        <v>46287</v>
      </c>
      <c r="CC45" s="52">
        <v>46288</v>
      </c>
      <c r="CD45" s="52">
        <v>46289</v>
      </c>
      <c r="CE45" s="53">
        <v>46290</v>
      </c>
      <c r="CF45" s="51">
        <v>46293</v>
      </c>
      <c r="CG45" s="52">
        <v>46294</v>
      </c>
      <c r="CH45" s="52">
        <v>46295</v>
      </c>
      <c r="CI45" s="52">
        <v>46296</v>
      </c>
      <c r="CJ45" s="53">
        <v>46297</v>
      </c>
      <c r="CK45" s="51">
        <f t="shared" si="32"/>
        <v>46300</v>
      </c>
      <c r="CL45" s="52">
        <f t="shared" ref="CL45:CO45" si="526">CK45+1</f>
        <v>46301</v>
      </c>
      <c r="CM45" s="52">
        <f t="shared" si="526"/>
        <v>46302</v>
      </c>
      <c r="CN45" s="52">
        <f t="shared" si="526"/>
        <v>46303</v>
      </c>
      <c r="CO45" s="53">
        <f t="shared" si="526"/>
        <v>46304</v>
      </c>
      <c r="CP45" s="51">
        <f t="shared" si="61"/>
        <v>46307</v>
      </c>
      <c r="CQ45" s="52">
        <f t="shared" ref="CQ45:CT45" si="527">CP45+1</f>
        <v>46308</v>
      </c>
      <c r="CR45" s="52">
        <f t="shared" si="527"/>
        <v>46309</v>
      </c>
      <c r="CS45" s="52">
        <f t="shared" si="527"/>
        <v>46310</v>
      </c>
      <c r="CT45" s="53">
        <f t="shared" si="527"/>
        <v>46311</v>
      </c>
      <c r="CU45" s="51">
        <f t="shared" si="35"/>
        <v>46314</v>
      </c>
      <c r="CV45" s="52">
        <f t="shared" ref="CV45:CY45" si="528">CU45+1</f>
        <v>46315</v>
      </c>
      <c r="CW45" s="52">
        <f t="shared" si="528"/>
        <v>46316</v>
      </c>
      <c r="CX45" s="52">
        <f t="shared" si="528"/>
        <v>46317</v>
      </c>
      <c r="CY45" s="53">
        <f t="shared" si="528"/>
        <v>46318</v>
      </c>
      <c r="CZ45" s="51">
        <f t="shared" si="37"/>
        <v>46321</v>
      </c>
      <c r="DA45" s="52">
        <f t="shared" ref="DA45:DD45" si="529">CZ45+1</f>
        <v>46322</v>
      </c>
      <c r="DB45" s="52">
        <f t="shared" si="529"/>
        <v>46323</v>
      </c>
      <c r="DC45" s="52">
        <f t="shared" si="529"/>
        <v>46324</v>
      </c>
      <c r="DD45" s="53">
        <f t="shared" si="529"/>
        <v>46325</v>
      </c>
      <c r="DE45" s="51">
        <f t="shared" si="39"/>
        <v>46328</v>
      </c>
      <c r="DF45" s="52">
        <f t="shared" ref="DF45:DI45" si="530">DE45+1</f>
        <v>46329</v>
      </c>
      <c r="DG45" s="52">
        <f t="shared" si="530"/>
        <v>46330</v>
      </c>
      <c r="DH45" s="52">
        <f t="shared" si="530"/>
        <v>46331</v>
      </c>
      <c r="DI45" s="53">
        <f t="shared" si="530"/>
        <v>46332</v>
      </c>
      <c r="DJ45" s="51">
        <f t="shared" si="41"/>
        <v>46335</v>
      </c>
      <c r="DK45" s="52">
        <f t="shared" ref="DK45:DN45" si="531">DJ45+1</f>
        <v>46336</v>
      </c>
      <c r="DL45" s="52">
        <f t="shared" si="531"/>
        <v>46337</v>
      </c>
      <c r="DM45" s="52">
        <f t="shared" si="531"/>
        <v>46338</v>
      </c>
      <c r="DN45" s="53">
        <f t="shared" si="531"/>
        <v>46339</v>
      </c>
      <c r="DO45" s="51">
        <f t="shared" si="43"/>
        <v>46342</v>
      </c>
      <c r="DP45" s="52">
        <f t="shared" ref="DP45:DS45" si="532">DO45+1</f>
        <v>46343</v>
      </c>
      <c r="DQ45" s="52">
        <f t="shared" si="532"/>
        <v>46344</v>
      </c>
      <c r="DR45" s="52">
        <f t="shared" si="532"/>
        <v>46345</v>
      </c>
      <c r="DS45" s="53">
        <f t="shared" si="532"/>
        <v>46346</v>
      </c>
      <c r="DT45" s="51">
        <f t="shared" si="45"/>
        <v>46349</v>
      </c>
      <c r="DU45" s="52">
        <f t="shared" ref="DU45:DX45" si="533">DT45+1</f>
        <v>46350</v>
      </c>
      <c r="DV45" s="52">
        <f t="shared" si="533"/>
        <v>46351</v>
      </c>
      <c r="DW45" s="52">
        <f t="shared" si="533"/>
        <v>46352</v>
      </c>
      <c r="DX45" s="53">
        <f t="shared" si="533"/>
        <v>46353</v>
      </c>
      <c r="DY45" s="51">
        <f t="shared" si="47"/>
        <v>46356</v>
      </c>
      <c r="DZ45" s="52">
        <f t="shared" ref="DZ45:EC45" si="534">DY45+1</f>
        <v>46357</v>
      </c>
      <c r="EA45" s="52">
        <f t="shared" si="534"/>
        <v>46358</v>
      </c>
      <c r="EB45" s="52">
        <f t="shared" si="534"/>
        <v>46359</v>
      </c>
      <c r="EC45" s="53">
        <f t="shared" si="534"/>
        <v>46360</v>
      </c>
      <c r="ED45" s="51">
        <f t="shared" si="49"/>
        <v>46363</v>
      </c>
      <c r="EE45" s="52">
        <f t="shared" ref="EE45:EH45" si="535">ED45+1</f>
        <v>46364</v>
      </c>
      <c r="EF45" s="52">
        <f t="shared" si="535"/>
        <v>46365</v>
      </c>
      <c r="EG45" s="52">
        <f t="shared" si="535"/>
        <v>46366</v>
      </c>
      <c r="EH45" s="53">
        <f t="shared" si="535"/>
        <v>46367</v>
      </c>
      <c r="EI45" s="51">
        <f t="shared" si="51"/>
        <v>46370</v>
      </c>
      <c r="EJ45" s="52">
        <f t="shared" ref="EJ45:EM45" si="536">EI45+1</f>
        <v>46371</v>
      </c>
      <c r="EK45" s="52">
        <f t="shared" si="536"/>
        <v>46372</v>
      </c>
      <c r="EL45" s="52">
        <f t="shared" si="536"/>
        <v>46373</v>
      </c>
      <c r="EM45" s="53">
        <f t="shared" si="536"/>
        <v>46374</v>
      </c>
      <c r="EN45" s="51">
        <f t="shared" si="53"/>
        <v>46377</v>
      </c>
      <c r="EO45" s="52">
        <f t="shared" ref="EO45:ER45" si="537">EN45+1</f>
        <v>46378</v>
      </c>
      <c r="EP45" s="52">
        <f t="shared" si="537"/>
        <v>46379</v>
      </c>
      <c r="EQ45" s="52">
        <f t="shared" si="537"/>
        <v>46380</v>
      </c>
      <c r="ER45" s="53">
        <f t="shared" si="537"/>
        <v>46381</v>
      </c>
      <c r="ES45" s="51">
        <f t="shared" si="55"/>
        <v>46384</v>
      </c>
      <c r="ET45" s="52">
        <f t="shared" ref="ET45:EW45" si="538">ES45+1</f>
        <v>46385</v>
      </c>
      <c r="EU45" s="52">
        <f t="shared" si="538"/>
        <v>46386</v>
      </c>
      <c r="EV45" s="52">
        <f t="shared" si="538"/>
        <v>46387</v>
      </c>
      <c r="EW45" s="53">
        <f t="shared" si="538"/>
        <v>46388</v>
      </c>
      <c r="EX45" s="51">
        <f t="shared" si="57"/>
        <v>46391</v>
      </c>
      <c r="EY45" s="52">
        <f t="shared" ref="EY45:FB47" si="539">EX44+1</f>
        <v>46392</v>
      </c>
      <c r="EZ45" s="52">
        <f t="shared" si="539"/>
        <v>46393</v>
      </c>
      <c r="FA45" s="52">
        <f t="shared" si="539"/>
        <v>46394</v>
      </c>
      <c r="FB45" s="53" t="e">
        <f t="shared" si="539"/>
        <v>#REF!</v>
      </c>
    </row>
    <row r="46" spans="1:158" ht="18" customHeight="1" outlineLevel="2">
      <c r="A46" s="26"/>
      <c r="B46" s="34"/>
      <c r="C46" s="34"/>
      <c r="D46" s="41" t="s">
        <v>27</v>
      </c>
      <c r="E46" s="42"/>
      <c r="F46" s="43"/>
      <c r="G46" s="60"/>
      <c r="H46" s="71" t="s">
        <v>18</v>
      </c>
      <c r="I46" s="71" t="s">
        <v>18</v>
      </c>
      <c r="J46" s="71" t="s">
        <v>18</v>
      </c>
      <c r="K46" s="73"/>
      <c r="L46" s="74"/>
      <c r="M46" s="46">
        <v>46251</v>
      </c>
      <c r="N46" s="44">
        <v>46269</v>
      </c>
      <c r="O46" s="48">
        <f>4/132/5+5/132/6+5/132/5</f>
        <v>1.994949494949495E-2</v>
      </c>
      <c r="P46" s="14"/>
      <c r="Q46" s="15"/>
      <c r="R46" s="14"/>
      <c r="S46" s="51">
        <f t="shared" si="30"/>
        <v>46202</v>
      </c>
      <c r="T46" s="52">
        <f t="shared" ref="T46:W46" si="540">S46+1</f>
        <v>46203</v>
      </c>
      <c r="U46" s="52">
        <f t="shared" si="540"/>
        <v>46204</v>
      </c>
      <c r="V46" s="52">
        <f t="shared" si="540"/>
        <v>46205</v>
      </c>
      <c r="W46" s="53">
        <f t="shared" si="540"/>
        <v>46206</v>
      </c>
      <c r="X46" s="51">
        <v>46209</v>
      </c>
      <c r="Y46" s="52">
        <v>46210</v>
      </c>
      <c r="Z46" s="52">
        <v>46211</v>
      </c>
      <c r="AA46" s="52">
        <v>46212</v>
      </c>
      <c r="AB46" s="53">
        <v>46213</v>
      </c>
      <c r="AC46" s="51">
        <v>46216</v>
      </c>
      <c r="AD46" s="52">
        <v>46217</v>
      </c>
      <c r="AE46" s="52">
        <v>46218</v>
      </c>
      <c r="AF46" s="52">
        <v>46219</v>
      </c>
      <c r="AG46" s="53">
        <v>46220</v>
      </c>
      <c r="AH46" s="51">
        <v>46223</v>
      </c>
      <c r="AI46" s="52">
        <v>46224</v>
      </c>
      <c r="AJ46" s="52">
        <v>46225</v>
      </c>
      <c r="AK46" s="52">
        <v>46226</v>
      </c>
      <c r="AL46" s="53">
        <v>46227</v>
      </c>
      <c r="AM46" s="51">
        <v>46230</v>
      </c>
      <c r="AN46" s="52">
        <v>46231</v>
      </c>
      <c r="AO46" s="52">
        <v>46232</v>
      </c>
      <c r="AP46" s="52">
        <v>46233</v>
      </c>
      <c r="AQ46" s="53">
        <v>46234</v>
      </c>
      <c r="AR46" s="51">
        <v>46237</v>
      </c>
      <c r="AS46" s="52">
        <v>46238</v>
      </c>
      <c r="AT46" s="52">
        <v>46239</v>
      </c>
      <c r="AU46" s="52">
        <v>46240</v>
      </c>
      <c r="AV46" s="53">
        <v>46241</v>
      </c>
      <c r="AW46" s="51">
        <v>46244</v>
      </c>
      <c r="AX46" s="52">
        <v>46245</v>
      </c>
      <c r="AY46" s="52">
        <v>46246</v>
      </c>
      <c r="AZ46" s="52">
        <v>46247</v>
      </c>
      <c r="BA46" s="53">
        <v>46248</v>
      </c>
      <c r="BB46" s="51">
        <v>46251</v>
      </c>
      <c r="BC46" s="52">
        <v>46252</v>
      </c>
      <c r="BD46" s="52">
        <v>46253</v>
      </c>
      <c r="BE46" s="52">
        <v>46254</v>
      </c>
      <c r="BF46" s="53">
        <v>46255</v>
      </c>
      <c r="BG46" s="51">
        <v>46258</v>
      </c>
      <c r="BH46" s="52">
        <v>46259</v>
      </c>
      <c r="BI46" s="52">
        <v>46260</v>
      </c>
      <c r="BJ46" s="52">
        <v>46261</v>
      </c>
      <c r="BK46" s="53">
        <v>46262</v>
      </c>
      <c r="BL46" s="51">
        <v>46265</v>
      </c>
      <c r="BM46" s="52">
        <v>46266</v>
      </c>
      <c r="BN46" s="52">
        <v>46267</v>
      </c>
      <c r="BO46" s="52">
        <v>46268</v>
      </c>
      <c r="BP46" s="53">
        <v>46269</v>
      </c>
      <c r="BQ46" s="51">
        <v>46272</v>
      </c>
      <c r="BR46" s="52">
        <v>46273</v>
      </c>
      <c r="BS46" s="52">
        <v>46274</v>
      </c>
      <c r="BT46" s="52">
        <v>46275</v>
      </c>
      <c r="BU46" s="53">
        <v>46276</v>
      </c>
      <c r="BV46" s="51">
        <v>46279</v>
      </c>
      <c r="BW46" s="52">
        <v>46280</v>
      </c>
      <c r="BX46" s="52">
        <v>46281</v>
      </c>
      <c r="BY46" s="52">
        <v>46282</v>
      </c>
      <c r="BZ46" s="53">
        <v>46283</v>
      </c>
      <c r="CA46" s="51">
        <v>46286</v>
      </c>
      <c r="CB46" s="52">
        <v>46287</v>
      </c>
      <c r="CC46" s="52">
        <v>46288</v>
      </c>
      <c r="CD46" s="52">
        <v>46289</v>
      </c>
      <c r="CE46" s="53">
        <v>46290</v>
      </c>
      <c r="CF46" s="51">
        <v>46293</v>
      </c>
      <c r="CG46" s="52">
        <v>46294</v>
      </c>
      <c r="CH46" s="52">
        <v>46295</v>
      </c>
      <c r="CI46" s="52">
        <v>46296</v>
      </c>
      <c r="CJ46" s="53">
        <v>46297</v>
      </c>
      <c r="CK46" s="51">
        <f t="shared" si="32"/>
        <v>46300</v>
      </c>
      <c r="CL46" s="52">
        <f t="shared" ref="CL46:CO46" si="541">CK46+1</f>
        <v>46301</v>
      </c>
      <c r="CM46" s="52">
        <f t="shared" si="541"/>
        <v>46302</v>
      </c>
      <c r="CN46" s="52">
        <f t="shared" si="541"/>
        <v>46303</v>
      </c>
      <c r="CO46" s="53">
        <f t="shared" si="541"/>
        <v>46304</v>
      </c>
      <c r="CP46" s="51">
        <f t="shared" si="61"/>
        <v>46307</v>
      </c>
      <c r="CQ46" s="52">
        <f t="shared" ref="CQ46:CT46" si="542">CP46+1</f>
        <v>46308</v>
      </c>
      <c r="CR46" s="52">
        <f t="shared" si="542"/>
        <v>46309</v>
      </c>
      <c r="CS46" s="52">
        <f t="shared" si="542"/>
        <v>46310</v>
      </c>
      <c r="CT46" s="53">
        <f t="shared" si="542"/>
        <v>46311</v>
      </c>
      <c r="CU46" s="51">
        <f t="shared" si="35"/>
        <v>46314</v>
      </c>
      <c r="CV46" s="52">
        <f t="shared" ref="CV46:CY46" si="543">CU46+1</f>
        <v>46315</v>
      </c>
      <c r="CW46" s="52">
        <f t="shared" si="543"/>
        <v>46316</v>
      </c>
      <c r="CX46" s="52">
        <f t="shared" si="543"/>
        <v>46317</v>
      </c>
      <c r="CY46" s="53">
        <f t="shared" si="543"/>
        <v>46318</v>
      </c>
      <c r="CZ46" s="51">
        <f t="shared" si="37"/>
        <v>46321</v>
      </c>
      <c r="DA46" s="52">
        <f t="shared" ref="DA46:DD46" si="544">CZ46+1</f>
        <v>46322</v>
      </c>
      <c r="DB46" s="52">
        <f t="shared" si="544"/>
        <v>46323</v>
      </c>
      <c r="DC46" s="52">
        <f t="shared" si="544"/>
        <v>46324</v>
      </c>
      <c r="DD46" s="53">
        <f t="shared" si="544"/>
        <v>46325</v>
      </c>
      <c r="DE46" s="51">
        <f t="shared" si="39"/>
        <v>46328</v>
      </c>
      <c r="DF46" s="52">
        <f t="shared" ref="DF46:DI46" si="545">DE46+1</f>
        <v>46329</v>
      </c>
      <c r="DG46" s="52">
        <f t="shared" si="545"/>
        <v>46330</v>
      </c>
      <c r="DH46" s="52">
        <f t="shared" si="545"/>
        <v>46331</v>
      </c>
      <c r="DI46" s="53">
        <f t="shared" si="545"/>
        <v>46332</v>
      </c>
      <c r="DJ46" s="51">
        <f t="shared" si="41"/>
        <v>46335</v>
      </c>
      <c r="DK46" s="52">
        <f t="shared" ref="DK46:DN46" si="546">DJ46+1</f>
        <v>46336</v>
      </c>
      <c r="DL46" s="52">
        <f t="shared" si="546"/>
        <v>46337</v>
      </c>
      <c r="DM46" s="52">
        <f t="shared" si="546"/>
        <v>46338</v>
      </c>
      <c r="DN46" s="53">
        <f t="shared" si="546"/>
        <v>46339</v>
      </c>
      <c r="DO46" s="51">
        <f t="shared" si="43"/>
        <v>46342</v>
      </c>
      <c r="DP46" s="52">
        <f t="shared" ref="DP46:DS46" si="547">DO46+1</f>
        <v>46343</v>
      </c>
      <c r="DQ46" s="52">
        <f t="shared" si="547"/>
        <v>46344</v>
      </c>
      <c r="DR46" s="52">
        <f t="shared" si="547"/>
        <v>46345</v>
      </c>
      <c r="DS46" s="53">
        <f t="shared" si="547"/>
        <v>46346</v>
      </c>
      <c r="DT46" s="51">
        <f t="shared" si="45"/>
        <v>46349</v>
      </c>
      <c r="DU46" s="52">
        <f t="shared" ref="DU46:DX46" si="548">DT46+1</f>
        <v>46350</v>
      </c>
      <c r="DV46" s="52">
        <f t="shared" si="548"/>
        <v>46351</v>
      </c>
      <c r="DW46" s="52">
        <f t="shared" si="548"/>
        <v>46352</v>
      </c>
      <c r="DX46" s="53">
        <f t="shared" si="548"/>
        <v>46353</v>
      </c>
      <c r="DY46" s="51">
        <f t="shared" si="47"/>
        <v>46356</v>
      </c>
      <c r="DZ46" s="52">
        <f t="shared" ref="DZ46:EC46" si="549">DY46+1</f>
        <v>46357</v>
      </c>
      <c r="EA46" s="52">
        <f t="shared" si="549"/>
        <v>46358</v>
      </c>
      <c r="EB46" s="52">
        <f t="shared" si="549"/>
        <v>46359</v>
      </c>
      <c r="EC46" s="53">
        <f t="shared" si="549"/>
        <v>46360</v>
      </c>
      <c r="ED46" s="51">
        <f t="shared" si="49"/>
        <v>46363</v>
      </c>
      <c r="EE46" s="52">
        <f t="shared" ref="EE46:EH46" si="550">ED46+1</f>
        <v>46364</v>
      </c>
      <c r="EF46" s="52">
        <f t="shared" si="550"/>
        <v>46365</v>
      </c>
      <c r="EG46" s="52">
        <f t="shared" si="550"/>
        <v>46366</v>
      </c>
      <c r="EH46" s="53">
        <f t="shared" si="550"/>
        <v>46367</v>
      </c>
      <c r="EI46" s="51">
        <f t="shared" si="51"/>
        <v>46370</v>
      </c>
      <c r="EJ46" s="52">
        <f t="shared" ref="EJ46:EM46" si="551">EI46+1</f>
        <v>46371</v>
      </c>
      <c r="EK46" s="52">
        <f t="shared" si="551"/>
        <v>46372</v>
      </c>
      <c r="EL46" s="52">
        <f t="shared" si="551"/>
        <v>46373</v>
      </c>
      <c r="EM46" s="53">
        <f t="shared" si="551"/>
        <v>46374</v>
      </c>
      <c r="EN46" s="51">
        <f t="shared" si="53"/>
        <v>46377</v>
      </c>
      <c r="EO46" s="52">
        <f t="shared" ref="EO46:ER46" si="552">EN46+1</f>
        <v>46378</v>
      </c>
      <c r="EP46" s="52">
        <f t="shared" si="552"/>
        <v>46379</v>
      </c>
      <c r="EQ46" s="52">
        <f t="shared" si="552"/>
        <v>46380</v>
      </c>
      <c r="ER46" s="53">
        <f t="shared" si="552"/>
        <v>46381</v>
      </c>
      <c r="ES46" s="51">
        <f t="shared" si="55"/>
        <v>46384</v>
      </c>
      <c r="ET46" s="52">
        <f t="shared" ref="ET46:EW46" si="553">ES46+1</f>
        <v>46385</v>
      </c>
      <c r="EU46" s="52">
        <f t="shared" si="553"/>
        <v>46386</v>
      </c>
      <c r="EV46" s="52">
        <f t="shared" si="553"/>
        <v>46387</v>
      </c>
      <c r="EW46" s="53">
        <f t="shared" si="553"/>
        <v>46388</v>
      </c>
      <c r="EX46" s="51">
        <f t="shared" si="57"/>
        <v>46391</v>
      </c>
      <c r="EY46" s="52">
        <f t="shared" si="539"/>
        <v>46392</v>
      </c>
      <c r="EZ46" s="52">
        <f t="shared" si="539"/>
        <v>46393</v>
      </c>
      <c r="FA46" s="52">
        <f t="shared" si="539"/>
        <v>46394</v>
      </c>
      <c r="FB46" s="53">
        <f t="shared" si="539"/>
        <v>46395</v>
      </c>
    </row>
    <row r="47" spans="1:158" ht="18" customHeight="1" outlineLevel="2">
      <c r="A47" s="26"/>
      <c r="B47" s="34"/>
      <c r="C47" s="34"/>
      <c r="D47" s="41" t="s">
        <v>26</v>
      </c>
      <c r="E47" s="42"/>
      <c r="F47" s="43"/>
      <c r="G47" s="60"/>
      <c r="H47" s="71" t="s">
        <v>18</v>
      </c>
      <c r="I47" s="71" t="s">
        <v>18</v>
      </c>
      <c r="J47" s="71" t="s">
        <v>18</v>
      </c>
      <c r="K47" s="73"/>
      <c r="L47" s="74"/>
      <c r="M47" s="46">
        <v>46272</v>
      </c>
      <c r="N47" s="44">
        <v>46304</v>
      </c>
      <c r="O47" s="14">
        <f>5/132/5+5/132/5+6/132/6+5/132/5</f>
        <v>3.0303030303030304E-2</v>
      </c>
      <c r="P47" s="14"/>
      <c r="Q47" s="15"/>
      <c r="R47" s="14"/>
      <c r="S47" s="51">
        <f t="shared" si="30"/>
        <v>46202</v>
      </c>
      <c r="T47" s="52">
        <f t="shared" ref="T47:W47" si="554">S47+1</f>
        <v>46203</v>
      </c>
      <c r="U47" s="52">
        <f t="shared" si="554"/>
        <v>46204</v>
      </c>
      <c r="V47" s="52">
        <f t="shared" si="554"/>
        <v>46205</v>
      </c>
      <c r="W47" s="53">
        <f t="shared" si="554"/>
        <v>46206</v>
      </c>
      <c r="X47" s="51">
        <v>46209</v>
      </c>
      <c r="Y47" s="52">
        <v>46210</v>
      </c>
      <c r="Z47" s="52">
        <v>46211</v>
      </c>
      <c r="AA47" s="52">
        <v>46212</v>
      </c>
      <c r="AB47" s="53">
        <v>46213</v>
      </c>
      <c r="AC47" s="51">
        <v>46216</v>
      </c>
      <c r="AD47" s="52">
        <v>46217</v>
      </c>
      <c r="AE47" s="52">
        <v>46218</v>
      </c>
      <c r="AF47" s="52">
        <v>46219</v>
      </c>
      <c r="AG47" s="53">
        <v>46220</v>
      </c>
      <c r="AH47" s="51">
        <v>46223</v>
      </c>
      <c r="AI47" s="52">
        <v>46224</v>
      </c>
      <c r="AJ47" s="52">
        <v>46225</v>
      </c>
      <c r="AK47" s="52">
        <v>46226</v>
      </c>
      <c r="AL47" s="53">
        <v>46227</v>
      </c>
      <c r="AM47" s="51">
        <v>46230</v>
      </c>
      <c r="AN47" s="52">
        <v>46231</v>
      </c>
      <c r="AO47" s="52">
        <v>46232</v>
      </c>
      <c r="AP47" s="52">
        <v>46233</v>
      </c>
      <c r="AQ47" s="53">
        <v>46234</v>
      </c>
      <c r="AR47" s="51">
        <v>46237</v>
      </c>
      <c r="AS47" s="52">
        <v>46238</v>
      </c>
      <c r="AT47" s="52">
        <v>46239</v>
      </c>
      <c r="AU47" s="52">
        <v>46240</v>
      </c>
      <c r="AV47" s="53">
        <v>46241</v>
      </c>
      <c r="AW47" s="51">
        <v>46244</v>
      </c>
      <c r="AX47" s="52">
        <v>46245</v>
      </c>
      <c r="AY47" s="52">
        <v>46246</v>
      </c>
      <c r="AZ47" s="52">
        <v>46247</v>
      </c>
      <c r="BA47" s="53">
        <v>46248</v>
      </c>
      <c r="BB47" s="51">
        <v>46251</v>
      </c>
      <c r="BC47" s="52">
        <v>46252</v>
      </c>
      <c r="BD47" s="52">
        <v>46253</v>
      </c>
      <c r="BE47" s="52">
        <v>46254</v>
      </c>
      <c r="BF47" s="53">
        <v>46255</v>
      </c>
      <c r="BG47" s="51">
        <v>46258</v>
      </c>
      <c r="BH47" s="52">
        <v>46259</v>
      </c>
      <c r="BI47" s="52">
        <v>46260</v>
      </c>
      <c r="BJ47" s="52">
        <v>46261</v>
      </c>
      <c r="BK47" s="53">
        <v>46262</v>
      </c>
      <c r="BL47" s="51">
        <v>46265</v>
      </c>
      <c r="BM47" s="52">
        <v>46266</v>
      </c>
      <c r="BN47" s="52">
        <v>46267</v>
      </c>
      <c r="BO47" s="52">
        <v>46268</v>
      </c>
      <c r="BP47" s="53">
        <v>46269</v>
      </c>
      <c r="BQ47" s="51">
        <v>46272</v>
      </c>
      <c r="BR47" s="52">
        <v>46273</v>
      </c>
      <c r="BS47" s="52">
        <v>46274</v>
      </c>
      <c r="BT47" s="52">
        <v>46275</v>
      </c>
      <c r="BU47" s="53">
        <v>46276</v>
      </c>
      <c r="BV47" s="51">
        <v>46279</v>
      </c>
      <c r="BW47" s="52">
        <v>46280</v>
      </c>
      <c r="BX47" s="52">
        <v>46281</v>
      </c>
      <c r="BY47" s="52">
        <v>46282</v>
      </c>
      <c r="BZ47" s="53">
        <v>46283</v>
      </c>
      <c r="CA47" s="51">
        <v>46286</v>
      </c>
      <c r="CB47" s="52">
        <v>46287</v>
      </c>
      <c r="CC47" s="52">
        <v>46288</v>
      </c>
      <c r="CD47" s="52">
        <v>46289</v>
      </c>
      <c r="CE47" s="53">
        <v>46290</v>
      </c>
      <c r="CF47" s="51">
        <v>46293</v>
      </c>
      <c r="CG47" s="52">
        <v>46294</v>
      </c>
      <c r="CH47" s="52">
        <v>46295</v>
      </c>
      <c r="CI47" s="52">
        <v>46296</v>
      </c>
      <c r="CJ47" s="53">
        <v>46297</v>
      </c>
      <c r="CK47" s="51">
        <f t="shared" si="32"/>
        <v>46300</v>
      </c>
      <c r="CL47" s="52">
        <f t="shared" ref="CL47:CO47" si="555">CK47+1</f>
        <v>46301</v>
      </c>
      <c r="CM47" s="52">
        <f t="shared" si="555"/>
        <v>46302</v>
      </c>
      <c r="CN47" s="52">
        <f t="shared" si="555"/>
        <v>46303</v>
      </c>
      <c r="CO47" s="53">
        <f t="shared" si="555"/>
        <v>46304</v>
      </c>
      <c r="CP47" s="51">
        <f t="shared" si="61"/>
        <v>46307</v>
      </c>
      <c r="CQ47" s="52">
        <f t="shared" ref="CQ47:CT47" si="556">CP47+1</f>
        <v>46308</v>
      </c>
      <c r="CR47" s="52">
        <f t="shared" si="556"/>
        <v>46309</v>
      </c>
      <c r="CS47" s="52">
        <f t="shared" si="556"/>
        <v>46310</v>
      </c>
      <c r="CT47" s="53">
        <f t="shared" si="556"/>
        <v>46311</v>
      </c>
      <c r="CU47" s="51">
        <f t="shared" si="35"/>
        <v>46314</v>
      </c>
      <c r="CV47" s="52">
        <f t="shared" ref="CV47:CY47" si="557">CU47+1</f>
        <v>46315</v>
      </c>
      <c r="CW47" s="52">
        <f t="shared" si="557"/>
        <v>46316</v>
      </c>
      <c r="CX47" s="52">
        <f t="shared" si="557"/>
        <v>46317</v>
      </c>
      <c r="CY47" s="53">
        <f t="shared" si="557"/>
        <v>46318</v>
      </c>
      <c r="CZ47" s="51">
        <f t="shared" si="37"/>
        <v>46321</v>
      </c>
      <c r="DA47" s="52">
        <f t="shared" ref="DA47:DD47" si="558">CZ47+1</f>
        <v>46322</v>
      </c>
      <c r="DB47" s="52">
        <f t="shared" si="558"/>
        <v>46323</v>
      </c>
      <c r="DC47" s="52">
        <f t="shared" si="558"/>
        <v>46324</v>
      </c>
      <c r="DD47" s="53">
        <f t="shared" si="558"/>
        <v>46325</v>
      </c>
      <c r="DE47" s="51">
        <f t="shared" si="39"/>
        <v>46328</v>
      </c>
      <c r="DF47" s="52">
        <f t="shared" ref="DF47:DI47" si="559">DE47+1</f>
        <v>46329</v>
      </c>
      <c r="DG47" s="52">
        <f t="shared" si="559"/>
        <v>46330</v>
      </c>
      <c r="DH47" s="52">
        <f t="shared" si="559"/>
        <v>46331</v>
      </c>
      <c r="DI47" s="53">
        <f t="shared" si="559"/>
        <v>46332</v>
      </c>
      <c r="DJ47" s="51">
        <f t="shared" si="41"/>
        <v>46335</v>
      </c>
      <c r="DK47" s="52">
        <f t="shared" ref="DK47:DN47" si="560">DJ47+1</f>
        <v>46336</v>
      </c>
      <c r="DL47" s="52">
        <f t="shared" si="560"/>
        <v>46337</v>
      </c>
      <c r="DM47" s="52">
        <f t="shared" si="560"/>
        <v>46338</v>
      </c>
      <c r="DN47" s="53">
        <f t="shared" si="560"/>
        <v>46339</v>
      </c>
      <c r="DO47" s="51">
        <f t="shared" si="43"/>
        <v>46342</v>
      </c>
      <c r="DP47" s="52">
        <f t="shared" ref="DP47:DS47" si="561">DO47+1</f>
        <v>46343</v>
      </c>
      <c r="DQ47" s="52">
        <f t="shared" si="561"/>
        <v>46344</v>
      </c>
      <c r="DR47" s="52">
        <f t="shared" si="561"/>
        <v>46345</v>
      </c>
      <c r="DS47" s="53">
        <f t="shared" si="561"/>
        <v>46346</v>
      </c>
      <c r="DT47" s="51">
        <f t="shared" si="45"/>
        <v>46349</v>
      </c>
      <c r="DU47" s="52">
        <f t="shared" ref="DU47:DX47" si="562">DT47+1</f>
        <v>46350</v>
      </c>
      <c r="DV47" s="52">
        <f t="shared" si="562"/>
        <v>46351</v>
      </c>
      <c r="DW47" s="52">
        <f t="shared" si="562"/>
        <v>46352</v>
      </c>
      <c r="DX47" s="53">
        <f t="shared" si="562"/>
        <v>46353</v>
      </c>
      <c r="DY47" s="51">
        <f t="shared" si="47"/>
        <v>46356</v>
      </c>
      <c r="DZ47" s="52">
        <f t="shared" ref="DZ47:EC47" si="563">DY47+1</f>
        <v>46357</v>
      </c>
      <c r="EA47" s="52">
        <f t="shared" si="563"/>
        <v>46358</v>
      </c>
      <c r="EB47" s="52">
        <f t="shared" si="563"/>
        <v>46359</v>
      </c>
      <c r="EC47" s="53">
        <f t="shared" si="563"/>
        <v>46360</v>
      </c>
      <c r="ED47" s="51">
        <f t="shared" si="49"/>
        <v>46363</v>
      </c>
      <c r="EE47" s="52">
        <f t="shared" ref="EE47:EH47" si="564">ED47+1</f>
        <v>46364</v>
      </c>
      <c r="EF47" s="52">
        <f t="shared" si="564"/>
        <v>46365</v>
      </c>
      <c r="EG47" s="52">
        <f t="shared" si="564"/>
        <v>46366</v>
      </c>
      <c r="EH47" s="53">
        <f t="shared" si="564"/>
        <v>46367</v>
      </c>
      <c r="EI47" s="51">
        <f t="shared" si="51"/>
        <v>46370</v>
      </c>
      <c r="EJ47" s="52">
        <f t="shared" ref="EJ47:EM47" si="565">EI47+1</f>
        <v>46371</v>
      </c>
      <c r="EK47" s="52">
        <f t="shared" si="565"/>
        <v>46372</v>
      </c>
      <c r="EL47" s="52">
        <f t="shared" si="565"/>
        <v>46373</v>
      </c>
      <c r="EM47" s="53">
        <f t="shared" si="565"/>
        <v>46374</v>
      </c>
      <c r="EN47" s="51">
        <f t="shared" si="53"/>
        <v>46377</v>
      </c>
      <c r="EO47" s="52">
        <f t="shared" ref="EO47:ER47" si="566">EN47+1</f>
        <v>46378</v>
      </c>
      <c r="EP47" s="52">
        <f t="shared" si="566"/>
        <v>46379</v>
      </c>
      <c r="EQ47" s="52">
        <f t="shared" si="566"/>
        <v>46380</v>
      </c>
      <c r="ER47" s="53">
        <f t="shared" si="566"/>
        <v>46381</v>
      </c>
      <c r="ES47" s="51">
        <f t="shared" si="55"/>
        <v>46384</v>
      </c>
      <c r="ET47" s="52">
        <f t="shared" ref="ET47:EW47" si="567">ES47+1</f>
        <v>46385</v>
      </c>
      <c r="EU47" s="52">
        <f t="shared" si="567"/>
        <v>46386</v>
      </c>
      <c r="EV47" s="52">
        <f t="shared" si="567"/>
        <v>46387</v>
      </c>
      <c r="EW47" s="53">
        <f t="shared" si="567"/>
        <v>46388</v>
      </c>
      <c r="EX47" s="51">
        <f t="shared" si="57"/>
        <v>46391</v>
      </c>
      <c r="EY47" s="52">
        <f t="shared" si="539"/>
        <v>46392</v>
      </c>
      <c r="EZ47" s="52">
        <f t="shared" si="539"/>
        <v>46393</v>
      </c>
      <c r="FA47" s="52">
        <f t="shared" si="539"/>
        <v>46394</v>
      </c>
      <c r="FB47" s="53">
        <f t="shared" si="539"/>
        <v>46395</v>
      </c>
    </row>
    <row r="48" spans="1:158" ht="17.25" customHeight="1" outlineLevel="1">
      <c r="A48" s="26"/>
      <c r="B48" s="34"/>
      <c r="C48" s="35" t="s">
        <v>132</v>
      </c>
      <c r="D48" s="36"/>
      <c r="E48" s="37"/>
      <c r="F48" s="38"/>
      <c r="G48" s="59"/>
      <c r="H48" s="67"/>
      <c r="I48" s="67"/>
      <c r="J48" s="68"/>
      <c r="K48" s="69"/>
      <c r="L48" s="70"/>
      <c r="M48" s="39">
        <f>MIN(M49:M52)</f>
        <v>46252</v>
      </c>
      <c r="N48" s="40">
        <f>MAX(N49:N52)</f>
        <v>46318</v>
      </c>
      <c r="O48" s="13">
        <f>SUM(O49:O52)</f>
        <v>0.16111111111111109</v>
      </c>
      <c r="P48" s="24"/>
      <c r="Q48" s="24"/>
      <c r="R48" s="24"/>
      <c r="S48" s="51">
        <f t="shared" si="30"/>
        <v>46202</v>
      </c>
      <c r="T48" s="52">
        <f t="shared" ref="T48:W48" si="568">S48+1</f>
        <v>46203</v>
      </c>
      <c r="U48" s="52">
        <f t="shared" si="568"/>
        <v>46204</v>
      </c>
      <c r="V48" s="52">
        <f t="shared" si="568"/>
        <v>46205</v>
      </c>
      <c r="W48" s="53">
        <f t="shared" si="568"/>
        <v>46206</v>
      </c>
      <c r="X48" s="51">
        <v>46209</v>
      </c>
      <c r="Y48" s="52">
        <v>46210</v>
      </c>
      <c r="Z48" s="52">
        <v>46211</v>
      </c>
      <c r="AA48" s="52">
        <v>46212</v>
      </c>
      <c r="AB48" s="53">
        <v>46213</v>
      </c>
      <c r="AC48" s="51">
        <v>46216</v>
      </c>
      <c r="AD48" s="52">
        <v>46217</v>
      </c>
      <c r="AE48" s="52">
        <v>46218</v>
      </c>
      <c r="AF48" s="52">
        <v>46219</v>
      </c>
      <c r="AG48" s="53">
        <v>46220</v>
      </c>
      <c r="AH48" s="51">
        <v>46223</v>
      </c>
      <c r="AI48" s="52">
        <v>46224</v>
      </c>
      <c r="AJ48" s="52">
        <v>46225</v>
      </c>
      <c r="AK48" s="52">
        <v>46226</v>
      </c>
      <c r="AL48" s="53">
        <v>46227</v>
      </c>
      <c r="AM48" s="51">
        <v>46230</v>
      </c>
      <c r="AN48" s="52">
        <v>46231</v>
      </c>
      <c r="AO48" s="52">
        <v>46232</v>
      </c>
      <c r="AP48" s="52">
        <v>46233</v>
      </c>
      <c r="AQ48" s="53">
        <v>46234</v>
      </c>
      <c r="AR48" s="51">
        <v>46237</v>
      </c>
      <c r="AS48" s="52">
        <v>46238</v>
      </c>
      <c r="AT48" s="52">
        <v>46239</v>
      </c>
      <c r="AU48" s="52">
        <v>46240</v>
      </c>
      <c r="AV48" s="53">
        <v>46241</v>
      </c>
      <c r="AW48" s="51">
        <v>46244</v>
      </c>
      <c r="AX48" s="52">
        <v>46245</v>
      </c>
      <c r="AY48" s="52">
        <v>46246</v>
      </c>
      <c r="AZ48" s="52">
        <v>46247</v>
      </c>
      <c r="BA48" s="53">
        <v>46248</v>
      </c>
      <c r="BB48" s="51">
        <v>46251</v>
      </c>
      <c r="BC48" s="52">
        <v>46252</v>
      </c>
      <c r="BD48" s="52">
        <v>46253</v>
      </c>
      <c r="BE48" s="52">
        <v>46254</v>
      </c>
      <c r="BF48" s="53">
        <v>46255</v>
      </c>
      <c r="BG48" s="51">
        <v>46258</v>
      </c>
      <c r="BH48" s="52">
        <v>46259</v>
      </c>
      <c r="BI48" s="52">
        <v>46260</v>
      </c>
      <c r="BJ48" s="52">
        <v>46261</v>
      </c>
      <c r="BK48" s="53">
        <v>46262</v>
      </c>
      <c r="BL48" s="51">
        <v>46265</v>
      </c>
      <c r="BM48" s="52">
        <v>46266</v>
      </c>
      <c r="BN48" s="52">
        <v>46267</v>
      </c>
      <c r="BO48" s="52">
        <v>46268</v>
      </c>
      <c r="BP48" s="53">
        <v>46269</v>
      </c>
      <c r="BQ48" s="51">
        <v>46272</v>
      </c>
      <c r="BR48" s="52">
        <v>46273</v>
      </c>
      <c r="BS48" s="52">
        <v>46274</v>
      </c>
      <c r="BT48" s="52">
        <v>46275</v>
      </c>
      <c r="BU48" s="53">
        <v>46276</v>
      </c>
      <c r="BV48" s="51">
        <v>46279</v>
      </c>
      <c r="BW48" s="52">
        <v>46280</v>
      </c>
      <c r="BX48" s="52">
        <v>46281</v>
      </c>
      <c r="BY48" s="52">
        <v>46282</v>
      </c>
      <c r="BZ48" s="53">
        <v>46283</v>
      </c>
      <c r="CA48" s="51">
        <v>46286</v>
      </c>
      <c r="CB48" s="52">
        <v>46287</v>
      </c>
      <c r="CC48" s="52">
        <v>46288</v>
      </c>
      <c r="CD48" s="52">
        <v>46289</v>
      </c>
      <c r="CE48" s="53">
        <v>46290</v>
      </c>
      <c r="CF48" s="51">
        <v>46293</v>
      </c>
      <c r="CG48" s="52">
        <v>46294</v>
      </c>
      <c r="CH48" s="52">
        <v>46295</v>
      </c>
      <c r="CI48" s="52">
        <v>46296</v>
      </c>
      <c r="CJ48" s="53">
        <v>46297</v>
      </c>
      <c r="CK48" s="51">
        <f t="shared" si="32"/>
        <v>46300</v>
      </c>
      <c r="CL48" s="52">
        <f t="shared" ref="CL48:CO48" si="569">CK48+1</f>
        <v>46301</v>
      </c>
      <c r="CM48" s="52">
        <f t="shared" si="569"/>
        <v>46302</v>
      </c>
      <c r="CN48" s="52">
        <f t="shared" si="569"/>
        <v>46303</v>
      </c>
      <c r="CO48" s="53">
        <f t="shared" si="569"/>
        <v>46304</v>
      </c>
      <c r="CP48" s="51">
        <f t="shared" si="61"/>
        <v>46307</v>
      </c>
      <c r="CQ48" s="52">
        <f t="shared" ref="CQ48:CT48" si="570">CP48+1</f>
        <v>46308</v>
      </c>
      <c r="CR48" s="52">
        <f t="shared" si="570"/>
        <v>46309</v>
      </c>
      <c r="CS48" s="52">
        <f t="shared" si="570"/>
        <v>46310</v>
      </c>
      <c r="CT48" s="53">
        <f t="shared" si="570"/>
        <v>46311</v>
      </c>
      <c r="CU48" s="51">
        <f t="shared" si="35"/>
        <v>46314</v>
      </c>
      <c r="CV48" s="52">
        <f t="shared" ref="CV48:CY48" si="571">CU48+1</f>
        <v>46315</v>
      </c>
      <c r="CW48" s="52">
        <f t="shared" si="571"/>
        <v>46316</v>
      </c>
      <c r="CX48" s="52">
        <f t="shared" si="571"/>
        <v>46317</v>
      </c>
      <c r="CY48" s="53">
        <f t="shared" si="571"/>
        <v>46318</v>
      </c>
      <c r="CZ48" s="51">
        <f t="shared" si="37"/>
        <v>46321</v>
      </c>
      <c r="DA48" s="52">
        <f t="shared" ref="DA48:DD48" si="572">CZ48+1</f>
        <v>46322</v>
      </c>
      <c r="DB48" s="52">
        <f t="shared" si="572"/>
        <v>46323</v>
      </c>
      <c r="DC48" s="52">
        <f t="shared" si="572"/>
        <v>46324</v>
      </c>
      <c r="DD48" s="53">
        <f t="shared" si="572"/>
        <v>46325</v>
      </c>
      <c r="DE48" s="51">
        <f t="shared" si="39"/>
        <v>46328</v>
      </c>
      <c r="DF48" s="52">
        <f t="shared" ref="DF48:DI48" si="573">DE48+1</f>
        <v>46329</v>
      </c>
      <c r="DG48" s="52">
        <f t="shared" si="573"/>
        <v>46330</v>
      </c>
      <c r="DH48" s="52">
        <f t="shared" si="573"/>
        <v>46331</v>
      </c>
      <c r="DI48" s="53">
        <f t="shared" si="573"/>
        <v>46332</v>
      </c>
      <c r="DJ48" s="51">
        <f t="shared" si="41"/>
        <v>46335</v>
      </c>
      <c r="DK48" s="52">
        <f t="shared" ref="DK48:DN48" si="574">DJ48+1</f>
        <v>46336</v>
      </c>
      <c r="DL48" s="52">
        <f t="shared" si="574"/>
        <v>46337</v>
      </c>
      <c r="DM48" s="52">
        <f t="shared" si="574"/>
        <v>46338</v>
      </c>
      <c r="DN48" s="53">
        <f t="shared" si="574"/>
        <v>46339</v>
      </c>
      <c r="DO48" s="51">
        <f t="shared" si="43"/>
        <v>46342</v>
      </c>
      <c r="DP48" s="52">
        <f t="shared" ref="DP48:DS48" si="575">DO48+1</f>
        <v>46343</v>
      </c>
      <c r="DQ48" s="52">
        <f t="shared" si="575"/>
        <v>46344</v>
      </c>
      <c r="DR48" s="52">
        <f t="shared" si="575"/>
        <v>46345</v>
      </c>
      <c r="DS48" s="53">
        <f t="shared" si="575"/>
        <v>46346</v>
      </c>
      <c r="DT48" s="51">
        <f t="shared" si="45"/>
        <v>46349</v>
      </c>
      <c r="DU48" s="52">
        <f t="shared" ref="DU48:DX48" si="576">DT48+1</f>
        <v>46350</v>
      </c>
      <c r="DV48" s="52">
        <f t="shared" si="576"/>
        <v>46351</v>
      </c>
      <c r="DW48" s="52">
        <f t="shared" si="576"/>
        <v>46352</v>
      </c>
      <c r="DX48" s="53">
        <f t="shared" si="576"/>
        <v>46353</v>
      </c>
      <c r="DY48" s="51">
        <f t="shared" si="47"/>
        <v>46356</v>
      </c>
      <c r="DZ48" s="52">
        <f t="shared" ref="DZ48:EC48" si="577">DY48+1</f>
        <v>46357</v>
      </c>
      <c r="EA48" s="52">
        <f t="shared" si="577"/>
        <v>46358</v>
      </c>
      <c r="EB48" s="52">
        <f t="shared" si="577"/>
        <v>46359</v>
      </c>
      <c r="EC48" s="53">
        <f t="shared" si="577"/>
        <v>46360</v>
      </c>
      <c r="ED48" s="51">
        <f t="shared" si="49"/>
        <v>46363</v>
      </c>
      <c r="EE48" s="52">
        <f t="shared" ref="EE48:EH48" si="578">ED48+1</f>
        <v>46364</v>
      </c>
      <c r="EF48" s="52">
        <f t="shared" si="578"/>
        <v>46365</v>
      </c>
      <c r="EG48" s="52">
        <f t="shared" si="578"/>
        <v>46366</v>
      </c>
      <c r="EH48" s="53">
        <f t="shared" si="578"/>
        <v>46367</v>
      </c>
      <c r="EI48" s="51">
        <f t="shared" si="51"/>
        <v>46370</v>
      </c>
      <c r="EJ48" s="52">
        <f t="shared" ref="EJ48:EM48" si="579">EI48+1</f>
        <v>46371</v>
      </c>
      <c r="EK48" s="52">
        <f t="shared" si="579"/>
        <v>46372</v>
      </c>
      <c r="EL48" s="52">
        <f t="shared" si="579"/>
        <v>46373</v>
      </c>
      <c r="EM48" s="53">
        <f t="shared" si="579"/>
        <v>46374</v>
      </c>
      <c r="EN48" s="51">
        <f t="shared" si="53"/>
        <v>46377</v>
      </c>
      <c r="EO48" s="52">
        <f t="shared" ref="EO48:ER48" si="580">EN48+1</f>
        <v>46378</v>
      </c>
      <c r="EP48" s="52">
        <f t="shared" si="580"/>
        <v>46379</v>
      </c>
      <c r="EQ48" s="52">
        <f t="shared" si="580"/>
        <v>46380</v>
      </c>
      <c r="ER48" s="53">
        <f t="shared" si="580"/>
        <v>46381</v>
      </c>
      <c r="ES48" s="51">
        <f t="shared" si="55"/>
        <v>46384</v>
      </c>
      <c r="ET48" s="52">
        <f t="shared" ref="ET48:EW48" si="581">ES48+1</f>
        <v>46385</v>
      </c>
      <c r="EU48" s="52">
        <f t="shared" si="581"/>
        <v>46386</v>
      </c>
      <c r="EV48" s="52">
        <f t="shared" si="581"/>
        <v>46387</v>
      </c>
      <c r="EW48" s="53">
        <f t="shared" si="581"/>
        <v>46388</v>
      </c>
      <c r="EX48" s="51">
        <f t="shared" si="57"/>
        <v>46391</v>
      </c>
      <c r="EY48" s="52">
        <f>EX44+1</f>
        <v>46392</v>
      </c>
      <c r="EZ48" s="52">
        <f>EY44+1</f>
        <v>46393</v>
      </c>
      <c r="FA48" s="52">
        <f>EZ44+1</f>
        <v>46394</v>
      </c>
      <c r="FB48" s="53" t="e">
        <f>FA44+1</f>
        <v>#REF!</v>
      </c>
    </row>
    <row r="49" spans="1:158" ht="18" customHeight="1" outlineLevel="2">
      <c r="A49" s="26"/>
      <c r="B49" s="34"/>
      <c r="C49" s="34"/>
      <c r="D49" s="41" t="s">
        <v>103</v>
      </c>
      <c r="E49" s="42"/>
      <c r="F49" s="43"/>
      <c r="G49" s="60"/>
      <c r="H49" s="71" t="s">
        <v>18</v>
      </c>
      <c r="I49" s="71" t="s">
        <v>18</v>
      </c>
      <c r="J49" s="71" t="s">
        <v>18</v>
      </c>
      <c r="K49" s="73"/>
      <c r="L49" s="74"/>
      <c r="M49" s="46">
        <v>46252</v>
      </c>
      <c r="N49" s="44">
        <v>46304</v>
      </c>
      <c r="O49" s="48">
        <f>4/132/5+5/132/6+5/132/5+5/132/5+5/132/5+6/132/6+5/132/5</f>
        <v>5.0252525252525257E-2</v>
      </c>
      <c r="P49" s="14"/>
      <c r="Q49" s="15"/>
      <c r="R49" s="14"/>
      <c r="S49" s="51">
        <f t="shared" si="30"/>
        <v>46202</v>
      </c>
      <c r="T49" s="52">
        <f t="shared" ref="T49:W49" si="582">S49+1</f>
        <v>46203</v>
      </c>
      <c r="U49" s="52">
        <f t="shared" si="582"/>
        <v>46204</v>
      </c>
      <c r="V49" s="52">
        <f t="shared" si="582"/>
        <v>46205</v>
      </c>
      <c r="W49" s="53">
        <f t="shared" si="582"/>
        <v>46206</v>
      </c>
      <c r="X49" s="51">
        <v>46209</v>
      </c>
      <c r="Y49" s="52">
        <v>46210</v>
      </c>
      <c r="Z49" s="52">
        <v>46211</v>
      </c>
      <c r="AA49" s="52">
        <v>46212</v>
      </c>
      <c r="AB49" s="53">
        <v>46213</v>
      </c>
      <c r="AC49" s="51">
        <v>46216</v>
      </c>
      <c r="AD49" s="52">
        <v>46217</v>
      </c>
      <c r="AE49" s="52">
        <v>46218</v>
      </c>
      <c r="AF49" s="52">
        <v>46219</v>
      </c>
      <c r="AG49" s="53">
        <v>46220</v>
      </c>
      <c r="AH49" s="51">
        <v>46223</v>
      </c>
      <c r="AI49" s="52">
        <v>46224</v>
      </c>
      <c r="AJ49" s="52">
        <v>46225</v>
      </c>
      <c r="AK49" s="52">
        <v>46226</v>
      </c>
      <c r="AL49" s="53">
        <v>46227</v>
      </c>
      <c r="AM49" s="51">
        <v>46230</v>
      </c>
      <c r="AN49" s="52">
        <v>46231</v>
      </c>
      <c r="AO49" s="52">
        <v>46232</v>
      </c>
      <c r="AP49" s="52">
        <v>46233</v>
      </c>
      <c r="AQ49" s="53">
        <v>46234</v>
      </c>
      <c r="AR49" s="51">
        <v>46237</v>
      </c>
      <c r="AS49" s="52">
        <v>46238</v>
      </c>
      <c r="AT49" s="52">
        <v>46239</v>
      </c>
      <c r="AU49" s="52">
        <v>46240</v>
      </c>
      <c r="AV49" s="53">
        <v>46241</v>
      </c>
      <c r="AW49" s="51">
        <v>46244</v>
      </c>
      <c r="AX49" s="52">
        <v>46245</v>
      </c>
      <c r="AY49" s="52">
        <v>46246</v>
      </c>
      <c r="AZ49" s="52">
        <v>46247</v>
      </c>
      <c r="BA49" s="53">
        <v>46248</v>
      </c>
      <c r="BB49" s="51">
        <v>46251</v>
      </c>
      <c r="BC49" s="52">
        <v>46252</v>
      </c>
      <c r="BD49" s="52">
        <v>46253</v>
      </c>
      <c r="BE49" s="52">
        <v>46254</v>
      </c>
      <c r="BF49" s="53">
        <v>46255</v>
      </c>
      <c r="BG49" s="51">
        <v>46258</v>
      </c>
      <c r="BH49" s="52">
        <v>46259</v>
      </c>
      <c r="BI49" s="52">
        <v>46260</v>
      </c>
      <c r="BJ49" s="52">
        <v>46261</v>
      </c>
      <c r="BK49" s="53">
        <v>46262</v>
      </c>
      <c r="BL49" s="51">
        <v>46265</v>
      </c>
      <c r="BM49" s="52">
        <v>46266</v>
      </c>
      <c r="BN49" s="52">
        <v>46267</v>
      </c>
      <c r="BO49" s="52">
        <v>46268</v>
      </c>
      <c r="BP49" s="53">
        <v>46269</v>
      </c>
      <c r="BQ49" s="51">
        <v>46272</v>
      </c>
      <c r="BR49" s="52">
        <v>46273</v>
      </c>
      <c r="BS49" s="52">
        <v>46274</v>
      </c>
      <c r="BT49" s="52">
        <v>46275</v>
      </c>
      <c r="BU49" s="53">
        <v>46276</v>
      </c>
      <c r="BV49" s="51">
        <v>46279</v>
      </c>
      <c r="BW49" s="52">
        <v>46280</v>
      </c>
      <c r="BX49" s="52">
        <v>46281</v>
      </c>
      <c r="BY49" s="52">
        <v>46282</v>
      </c>
      <c r="BZ49" s="53">
        <v>46283</v>
      </c>
      <c r="CA49" s="51">
        <v>46286</v>
      </c>
      <c r="CB49" s="52">
        <v>46287</v>
      </c>
      <c r="CC49" s="52">
        <v>46288</v>
      </c>
      <c r="CD49" s="52">
        <v>46289</v>
      </c>
      <c r="CE49" s="53">
        <v>46290</v>
      </c>
      <c r="CF49" s="51">
        <v>46293</v>
      </c>
      <c r="CG49" s="52">
        <v>46294</v>
      </c>
      <c r="CH49" s="52">
        <v>46295</v>
      </c>
      <c r="CI49" s="52">
        <v>46296</v>
      </c>
      <c r="CJ49" s="53">
        <v>46297</v>
      </c>
      <c r="CK49" s="51">
        <f t="shared" si="32"/>
        <v>46300</v>
      </c>
      <c r="CL49" s="52">
        <f t="shared" ref="CL49:CO49" si="583">CK49+1</f>
        <v>46301</v>
      </c>
      <c r="CM49" s="52">
        <f t="shared" si="583"/>
        <v>46302</v>
      </c>
      <c r="CN49" s="52">
        <f t="shared" si="583"/>
        <v>46303</v>
      </c>
      <c r="CO49" s="53">
        <f t="shared" si="583"/>
        <v>46304</v>
      </c>
      <c r="CP49" s="51">
        <f t="shared" si="61"/>
        <v>46307</v>
      </c>
      <c r="CQ49" s="52">
        <f t="shared" ref="CQ49:CT49" si="584">CP49+1</f>
        <v>46308</v>
      </c>
      <c r="CR49" s="52">
        <f t="shared" si="584"/>
        <v>46309</v>
      </c>
      <c r="CS49" s="52">
        <f t="shared" si="584"/>
        <v>46310</v>
      </c>
      <c r="CT49" s="53">
        <f t="shared" si="584"/>
        <v>46311</v>
      </c>
      <c r="CU49" s="51">
        <f t="shared" si="35"/>
        <v>46314</v>
      </c>
      <c r="CV49" s="52">
        <f t="shared" ref="CV49:CY49" si="585">CU49+1</f>
        <v>46315</v>
      </c>
      <c r="CW49" s="52">
        <f t="shared" si="585"/>
        <v>46316</v>
      </c>
      <c r="CX49" s="52">
        <f t="shared" si="585"/>
        <v>46317</v>
      </c>
      <c r="CY49" s="53">
        <f t="shared" si="585"/>
        <v>46318</v>
      </c>
      <c r="CZ49" s="51">
        <f t="shared" si="37"/>
        <v>46321</v>
      </c>
      <c r="DA49" s="52">
        <f t="shared" ref="DA49:DD49" si="586">CZ49+1</f>
        <v>46322</v>
      </c>
      <c r="DB49" s="52">
        <f t="shared" si="586"/>
        <v>46323</v>
      </c>
      <c r="DC49" s="52">
        <f t="shared" si="586"/>
        <v>46324</v>
      </c>
      <c r="DD49" s="53">
        <f t="shared" si="586"/>
        <v>46325</v>
      </c>
      <c r="DE49" s="51">
        <f t="shared" si="39"/>
        <v>46328</v>
      </c>
      <c r="DF49" s="52">
        <f t="shared" ref="DF49:DI49" si="587">DE49+1</f>
        <v>46329</v>
      </c>
      <c r="DG49" s="52">
        <f t="shared" si="587"/>
        <v>46330</v>
      </c>
      <c r="DH49" s="52">
        <f t="shared" si="587"/>
        <v>46331</v>
      </c>
      <c r="DI49" s="53">
        <f t="shared" si="587"/>
        <v>46332</v>
      </c>
      <c r="DJ49" s="51">
        <f t="shared" si="41"/>
        <v>46335</v>
      </c>
      <c r="DK49" s="52">
        <f t="shared" ref="DK49:DN49" si="588">DJ49+1</f>
        <v>46336</v>
      </c>
      <c r="DL49" s="52">
        <f t="shared" si="588"/>
        <v>46337</v>
      </c>
      <c r="DM49" s="52">
        <f t="shared" si="588"/>
        <v>46338</v>
      </c>
      <c r="DN49" s="53">
        <f t="shared" si="588"/>
        <v>46339</v>
      </c>
      <c r="DO49" s="51">
        <f t="shared" si="43"/>
        <v>46342</v>
      </c>
      <c r="DP49" s="52">
        <f t="shared" ref="DP49:DS49" si="589">DO49+1</f>
        <v>46343</v>
      </c>
      <c r="DQ49" s="52">
        <f t="shared" si="589"/>
        <v>46344</v>
      </c>
      <c r="DR49" s="52">
        <f t="shared" si="589"/>
        <v>46345</v>
      </c>
      <c r="DS49" s="53">
        <f t="shared" si="589"/>
        <v>46346</v>
      </c>
      <c r="DT49" s="51">
        <f t="shared" si="45"/>
        <v>46349</v>
      </c>
      <c r="DU49" s="52">
        <f t="shared" ref="DU49:DX49" si="590">DT49+1</f>
        <v>46350</v>
      </c>
      <c r="DV49" s="52">
        <f t="shared" si="590"/>
        <v>46351</v>
      </c>
      <c r="DW49" s="52">
        <f t="shared" si="590"/>
        <v>46352</v>
      </c>
      <c r="DX49" s="53">
        <f t="shared" si="590"/>
        <v>46353</v>
      </c>
      <c r="DY49" s="51">
        <f t="shared" si="47"/>
        <v>46356</v>
      </c>
      <c r="DZ49" s="52">
        <f t="shared" ref="DZ49:EC49" si="591">DY49+1</f>
        <v>46357</v>
      </c>
      <c r="EA49" s="52">
        <f t="shared" si="591"/>
        <v>46358</v>
      </c>
      <c r="EB49" s="52">
        <f t="shared" si="591"/>
        <v>46359</v>
      </c>
      <c r="EC49" s="53">
        <f t="shared" si="591"/>
        <v>46360</v>
      </c>
      <c r="ED49" s="51">
        <f t="shared" si="49"/>
        <v>46363</v>
      </c>
      <c r="EE49" s="52">
        <f t="shared" ref="EE49:EH49" si="592">ED49+1</f>
        <v>46364</v>
      </c>
      <c r="EF49" s="52">
        <f t="shared" si="592"/>
        <v>46365</v>
      </c>
      <c r="EG49" s="52">
        <f t="shared" si="592"/>
        <v>46366</v>
      </c>
      <c r="EH49" s="53">
        <f t="shared" si="592"/>
        <v>46367</v>
      </c>
      <c r="EI49" s="51">
        <f t="shared" si="51"/>
        <v>46370</v>
      </c>
      <c r="EJ49" s="52">
        <f t="shared" ref="EJ49:EM49" si="593">EI49+1</f>
        <v>46371</v>
      </c>
      <c r="EK49" s="52">
        <f t="shared" si="593"/>
        <v>46372</v>
      </c>
      <c r="EL49" s="52">
        <f t="shared" si="593"/>
        <v>46373</v>
      </c>
      <c r="EM49" s="53">
        <f t="shared" si="593"/>
        <v>46374</v>
      </c>
      <c r="EN49" s="51">
        <f t="shared" si="53"/>
        <v>46377</v>
      </c>
      <c r="EO49" s="52">
        <f t="shared" ref="EO49:ER49" si="594">EN49+1</f>
        <v>46378</v>
      </c>
      <c r="EP49" s="52">
        <f t="shared" si="594"/>
        <v>46379</v>
      </c>
      <c r="EQ49" s="52">
        <f t="shared" si="594"/>
        <v>46380</v>
      </c>
      <c r="ER49" s="53">
        <f t="shared" si="594"/>
        <v>46381</v>
      </c>
      <c r="ES49" s="51">
        <f t="shared" si="55"/>
        <v>46384</v>
      </c>
      <c r="ET49" s="52">
        <f t="shared" ref="ET49:EW49" si="595">ES49+1</f>
        <v>46385</v>
      </c>
      <c r="EU49" s="52">
        <f t="shared" si="595"/>
        <v>46386</v>
      </c>
      <c r="EV49" s="52">
        <f t="shared" si="595"/>
        <v>46387</v>
      </c>
      <c r="EW49" s="53">
        <f t="shared" si="595"/>
        <v>46388</v>
      </c>
      <c r="EX49" s="51">
        <f t="shared" si="57"/>
        <v>46391</v>
      </c>
      <c r="EY49" s="52">
        <f t="shared" si="58"/>
        <v>46392</v>
      </c>
      <c r="EZ49" s="52">
        <f t="shared" si="58"/>
        <v>46393</v>
      </c>
      <c r="FA49" s="52">
        <f t="shared" si="58"/>
        <v>46394</v>
      </c>
      <c r="FB49" s="53">
        <f t="shared" si="58"/>
        <v>46395</v>
      </c>
    </row>
    <row r="50" spans="1:158" ht="18" customHeight="1" outlineLevel="2">
      <c r="A50" s="26"/>
      <c r="B50" s="34"/>
      <c r="C50" s="34"/>
      <c r="D50" s="41" t="s">
        <v>104</v>
      </c>
      <c r="E50" s="42"/>
      <c r="F50" s="43"/>
      <c r="G50" s="60"/>
      <c r="H50" s="71" t="s">
        <v>18</v>
      </c>
      <c r="I50" s="71" t="s">
        <v>25</v>
      </c>
      <c r="J50" s="72" t="s">
        <v>25</v>
      </c>
      <c r="K50" s="73"/>
      <c r="L50" s="74"/>
      <c r="M50" s="46">
        <v>46279</v>
      </c>
      <c r="N50" s="44">
        <v>46297</v>
      </c>
      <c r="O50" s="14">
        <f>5/132/5+6/132/6+2/132/5</f>
        <v>1.8181818181818181E-2</v>
      </c>
      <c r="P50" s="14"/>
      <c r="Q50" s="15"/>
      <c r="R50" s="14"/>
      <c r="S50" s="51">
        <f t="shared" si="30"/>
        <v>46202</v>
      </c>
      <c r="T50" s="52">
        <f t="shared" ref="T50:W62" si="596">S50+1</f>
        <v>46203</v>
      </c>
      <c r="U50" s="52">
        <f t="shared" si="596"/>
        <v>46204</v>
      </c>
      <c r="V50" s="52">
        <f t="shared" si="596"/>
        <v>46205</v>
      </c>
      <c r="W50" s="53">
        <f t="shared" si="596"/>
        <v>46206</v>
      </c>
      <c r="X50" s="51">
        <v>46209</v>
      </c>
      <c r="Y50" s="52">
        <v>46210</v>
      </c>
      <c r="Z50" s="52">
        <v>46211</v>
      </c>
      <c r="AA50" s="52">
        <v>46212</v>
      </c>
      <c r="AB50" s="53">
        <v>46213</v>
      </c>
      <c r="AC50" s="51">
        <v>46216</v>
      </c>
      <c r="AD50" s="52">
        <v>46217</v>
      </c>
      <c r="AE50" s="52">
        <v>46218</v>
      </c>
      <c r="AF50" s="52">
        <v>46219</v>
      </c>
      <c r="AG50" s="53">
        <v>46220</v>
      </c>
      <c r="AH50" s="51">
        <v>46223</v>
      </c>
      <c r="AI50" s="52">
        <v>46224</v>
      </c>
      <c r="AJ50" s="52">
        <v>46225</v>
      </c>
      <c r="AK50" s="52">
        <v>46226</v>
      </c>
      <c r="AL50" s="53">
        <v>46227</v>
      </c>
      <c r="AM50" s="51">
        <v>46230</v>
      </c>
      <c r="AN50" s="52">
        <v>46231</v>
      </c>
      <c r="AO50" s="52">
        <v>46232</v>
      </c>
      <c r="AP50" s="52">
        <v>46233</v>
      </c>
      <c r="AQ50" s="53">
        <v>46234</v>
      </c>
      <c r="AR50" s="51">
        <v>46237</v>
      </c>
      <c r="AS50" s="52">
        <v>46238</v>
      </c>
      <c r="AT50" s="52">
        <v>46239</v>
      </c>
      <c r="AU50" s="52">
        <v>46240</v>
      </c>
      <c r="AV50" s="53">
        <v>46241</v>
      </c>
      <c r="AW50" s="51">
        <v>46244</v>
      </c>
      <c r="AX50" s="52">
        <v>46245</v>
      </c>
      <c r="AY50" s="52">
        <v>46246</v>
      </c>
      <c r="AZ50" s="52">
        <v>46247</v>
      </c>
      <c r="BA50" s="53">
        <v>46248</v>
      </c>
      <c r="BB50" s="51">
        <v>46251</v>
      </c>
      <c r="BC50" s="52">
        <v>46252</v>
      </c>
      <c r="BD50" s="52">
        <v>46253</v>
      </c>
      <c r="BE50" s="52">
        <v>46254</v>
      </c>
      <c r="BF50" s="53">
        <v>46255</v>
      </c>
      <c r="BG50" s="51">
        <v>46258</v>
      </c>
      <c r="BH50" s="52">
        <v>46259</v>
      </c>
      <c r="BI50" s="52">
        <v>46260</v>
      </c>
      <c r="BJ50" s="52">
        <v>46261</v>
      </c>
      <c r="BK50" s="53">
        <v>46262</v>
      </c>
      <c r="BL50" s="51">
        <v>46265</v>
      </c>
      <c r="BM50" s="52">
        <v>46266</v>
      </c>
      <c r="BN50" s="52">
        <v>46267</v>
      </c>
      <c r="BO50" s="52">
        <v>46268</v>
      </c>
      <c r="BP50" s="53">
        <v>46269</v>
      </c>
      <c r="BQ50" s="51">
        <v>46272</v>
      </c>
      <c r="BR50" s="52">
        <v>46273</v>
      </c>
      <c r="BS50" s="52">
        <v>46274</v>
      </c>
      <c r="BT50" s="52">
        <v>46275</v>
      </c>
      <c r="BU50" s="53">
        <v>46276</v>
      </c>
      <c r="BV50" s="51">
        <v>46279</v>
      </c>
      <c r="BW50" s="52">
        <v>46280</v>
      </c>
      <c r="BX50" s="52">
        <v>46281</v>
      </c>
      <c r="BY50" s="52">
        <v>46282</v>
      </c>
      <c r="BZ50" s="53">
        <v>46283</v>
      </c>
      <c r="CA50" s="51">
        <v>46286</v>
      </c>
      <c r="CB50" s="52">
        <v>46287</v>
      </c>
      <c r="CC50" s="52">
        <v>46288</v>
      </c>
      <c r="CD50" s="52">
        <v>46289</v>
      </c>
      <c r="CE50" s="53">
        <v>46290</v>
      </c>
      <c r="CF50" s="51">
        <v>46293</v>
      </c>
      <c r="CG50" s="52">
        <v>46294</v>
      </c>
      <c r="CH50" s="52">
        <v>46295</v>
      </c>
      <c r="CI50" s="52">
        <v>46296</v>
      </c>
      <c r="CJ50" s="53">
        <v>46297</v>
      </c>
      <c r="CK50" s="51">
        <f t="shared" si="32"/>
        <v>46300</v>
      </c>
      <c r="CL50" s="52">
        <f t="shared" ref="CL50:CO62" si="597">CK50+1</f>
        <v>46301</v>
      </c>
      <c r="CM50" s="52">
        <f t="shared" si="597"/>
        <v>46302</v>
      </c>
      <c r="CN50" s="52">
        <f t="shared" si="597"/>
        <v>46303</v>
      </c>
      <c r="CO50" s="53">
        <f t="shared" si="597"/>
        <v>46304</v>
      </c>
      <c r="CP50" s="51">
        <f t="shared" si="61"/>
        <v>46307</v>
      </c>
      <c r="CQ50" s="52">
        <f t="shared" ref="CQ50:CT62" si="598">CP50+1</f>
        <v>46308</v>
      </c>
      <c r="CR50" s="52">
        <f t="shared" si="598"/>
        <v>46309</v>
      </c>
      <c r="CS50" s="52">
        <f t="shared" si="598"/>
        <v>46310</v>
      </c>
      <c r="CT50" s="53">
        <f t="shared" si="598"/>
        <v>46311</v>
      </c>
      <c r="CU50" s="51">
        <f t="shared" si="35"/>
        <v>46314</v>
      </c>
      <c r="CV50" s="52">
        <f t="shared" ref="CV50:CY62" si="599">CU50+1</f>
        <v>46315</v>
      </c>
      <c r="CW50" s="52">
        <f t="shared" si="599"/>
        <v>46316</v>
      </c>
      <c r="CX50" s="52">
        <f t="shared" si="599"/>
        <v>46317</v>
      </c>
      <c r="CY50" s="53">
        <f t="shared" si="599"/>
        <v>46318</v>
      </c>
      <c r="CZ50" s="51">
        <f t="shared" si="37"/>
        <v>46321</v>
      </c>
      <c r="DA50" s="52">
        <f t="shared" ref="DA50:DD62" si="600">CZ50+1</f>
        <v>46322</v>
      </c>
      <c r="DB50" s="52">
        <f t="shared" si="600"/>
        <v>46323</v>
      </c>
      <c r="DC50" s="52">
        <f t="shared" si="600"/>
        <v>46324</v>
      </c>
      <c r="DD50" s="53">
        <f t="shared" si="600"/>
        <v>46325</v>
      </c>
      <c r="DE50" s="51">
        <f t="shared" si="39"/>
        <v>46328</v>
      </c>
      <c r="DF50" s="52">
        <f t="shared" ref="DF50:DI62" si="601">DE50+1</f>
        <v>46329</v>
      </c>
      <c r="DG50" s="52">
        <f t="shared" si="601"/>
        <v>46330</v>
      </c>
      <c r="DH50" s="52">
        <f t="shared" si="601"/>
        <v>46331</v>
      </c>
      <c r="DI50" s="53">
        <f t="shared" si="601"/>
        <v>46332</v>
      </c>
      <c r="DJ50" s="51">
        <f t="shared" si="41"/>
        <v>46335</v>
      </c>
      <c r="DK50" s="52">
        <f t="shared" ref="DK50:DN62" si="602">DJ50+1</f>
        <v>46336</v>
      </c>
      <c r="DL50" s="52">
        <f t="shared" si="602"/>
        <v>46337</v>
      </c>
      <c r="DM50" s="52">
        <f t="shared" si="602"/>
        <v>46338</v>
      </c>
      <c r="DN50" s="53">
        <f t="shared" si="602"/>
        <v>46339</v>
      </c>
      <c r="DO50" s="51">
        <f t="shared" si="43"/>
        <v>46342</v>
      </c>
      <c r="DP50" s="52">
        <f t="shared" ref="DP50:DS62" si="603">DO50+1</f>
        <v>46343</v>
      </c>
      <c r="DQ50" s="52">
        <f t="shared" si="603"/>
        <v>46344</v>
      </c>
      <c r="DR50" s="52">
        <f t="shared" si="603"/>
        <v>46345</v>
      </c>
      <c r="DS50" s="53">
        <f t="shared" si="603"/>
        <v>46346</v>
      </c>
      <c r="DT50" s="51">
        <f t="shared" si="45"/>
        <v>46349</v>
      </c>
      <c r="DU50" s="52">
        <f t="shared" ref="DU50:DX62" si="604">DT50+1</f>
        <v>46350</v>
      </c>
      <c r="DV50" s="52">
        <f t="shared" si="604"/>
        <v>46351</v>
      </c>
      <c r="DW50" s="52">
        <f t="shared" si="604"/>
        <v>46352</v>
      </c>
      <c r="DX50" s="53">
        <f t="shared" si="604"/>
        <v>46353</v>
      </c>
      <c r="DY50" s="51">
        <f t="shared" si="47"/>
        <v>46356</v>
      </c>
      <c r="DZ50" s="52">
        <f t="shared" ref="DZ50:EC62" si="605">DY50+1</f>
        <v>46357</v>
      </c>
      <c r="EA50" s="52">
        <f t="shared" si="605"/>
        <v>46358</v>
      </c>
      <c r="EB50" s="52">
        <f t="shared" si="605"/>
        <v>46359</v>
      </c>
      <c r="EC50" s="53">
        <f t="shared" si="605"/>
        <v>46360</v>
      </c>
      <c r="ED50" s="51">
        <f t="shared" si="49"/>
        <v>46363</v>
      </c>
      <c r="EE50" s="52">
        <f t="shared" ref="EE50:EH62" si="606">ED50+1</f>
        <v>46364</v>
      </c>
      <c r="EF50" s="52">
        <f t="shared" si="606"/>
        <v>46365</v>
      </c>
      <c r="EG50" s="52">
        <f t="shared" si="606"/>
        <v>46366</v>
      </c>
      <c r="EH50" s="53">
        <f t="shared" si="606"/>
        <v>46367</v>
      </c>
      <c r="EI50" s="51">
        <f t="shared" si="51"/>
        <v>46370</v>
      </c>
      <c r="EJ50" s="52">
        <f t="shared" ref="EJ50:EM62" si="607">EI50+1</f>
        <v>46371</v>
      </c>
      <c r="EK50" s="52">
        <f t="shared" si="607"/>
        <v>46372</v>
      </c>
      <c r="EL50" s="52">
        <f t="shared" si="607"/>
        <v>46373</v>
      </c>
      <c r="EM50" s="53">
        <f t="shared" si="607"/>
        <v>46374</v>
      </c>
      <c r="EN50" s="51">
        <f t="shared" si="53"/>
        <v>46377</v>
      </c>
      <c r="EO50" s="52">
        <f t="shared" ref="EO50:ER62" si="608">EN50+1</f>
        <v>46378</v>
      </c>
      <c r="EP50" s="52">
        <f t="shared" si="608"/>
        <v>46379</v>
      </c>
      <c r="EQ50" s="52">
        <f t="shared" si="608"/>
        <v>46380</v>
      </c>
      <c r="ER50" s="53">
        <f t="shared" si="608"/>
        <v>46381</v>
      </c>
      <c r="ES50" s="51">
        <f t="shared" si="55"/>
        <v>46384</v>
      </c>
      <c r="ET50" s="52">
        <f t="shared" ref="ET50:EW62" si="609">ES50+1</f>
        <v>46385</v>
      </c>
      <c r="EU50" s="52">
        <f t="shared" si="609"/>
        <v>46386</v>
      </c>
      <c r="EV50" s="52">
        <f t="shared" si="609"/>
        <v>46387</v>
      </c>
      <c r="EW50" s="53">
        <f t="shared" si="609"/>
        <v>46388</v>
      </c>
      <c r="EX50" s="51">
        <f t="shared" si="57"/>
        <v>46391</v>
      </c>
      <c r="EY50" s="52">
        <f>EX48+1</f>
        <v>46392</v>
      </c>
      <c r="EZ50" s="52">
        <f>EY48+1</f>
        <v>46393</v>
      </c>
      <c r="FA50" s="52">
        <f>EZ48+1</f>
        <v>46394</v>
      </c>
      <c r="FB50" s="53">
        <f>FA48+1</f>
        <v>46395</v>
      </c>
    </row>
    <row r="51" spans="1:158" ht="18" customHeight="1" outlineLevel="2">
      <c r="A51" s="26"/>
      <c r="B51" s="34"/>
      <c r="C51" s="34"/>
      <c r="D51" s="41" t="s">
        <v>105</v>
      </c>
      <c r="E51" s="42"/>
      <c r="F51" s="43"/>
      <c r="G51" s="60"/>
      <c r="H51" s="71" t="s">
        <v>18</v>
      </c>
      <c r="I51" s="71" t="s">
        <v>25</v>
      </c>
      <c r="J51" s="72" t="s">
        <v>25</v>
      </c>
      <c r="K51" s="73"/>
      <c r="L51" s="74"/>
      <c r="M51" s="46">
        <v>46300</v>
      </c>
      <c r="N51" s="44">
        <v>46318</v>
      </c>
      <c r="O51" s="14">
        <f>3/132/5+5/132/2+5/132/2</f>
        <v>4.242424242424242E-2</v>
      </c>
      <c r="P51" s="14"/>
      <c r="Q51" s="15"/>
      <c r="R51" s="14"/>
      <c r="S51" s="51">
        <f t="shared" si="30"/>
        <v>46202</v>
      </c>
      <c r="T51" s="52">
        <f t="shared" si="596"/>
        <v>46203</v>
      </c>
      <c r="U51" s="52">
        <f t="shared" si="596"/>
        <v>46204</v>
      </c>
      <c r="V51" s="52">
        <f t="shared" si="596"/>
        <v>46205</v>
      </c>
      <c r="W51" s="53">
        <f t="shared" si="596"/>
        <v>46206</v>
      </c>
      <c r="X51" s="51">
        <v>46209</v>
      </c>
      <c r="Y51" s="52">
        <v>46210</v>
      </c>
      <c r="Z51" s="52">
        <v>46211</v>
      </c>
      <c r="AA51" s="52">
        <v>46212</v>
      </c>
      <c r="AB51" s="53">
        <v>46213</v>
      </c>
      <c r="AC51" s="51">
        <v>46216</v>
      </c>
      <c r="AD51" s="52">
        <v>46217</v>
      </c>
      <c r="AE51" s="52">
        <v>46218</v>
      </c>
      <c r="AF51" s="52">
        <v>46219</v>
      </c>
      <c r="AG51" s="53">
        <v>46220</v>
      </c>
      <c r="AH51" s="51">
        <v>46223</v>
      </c>
      <c r="AI51" s="52">
        <v>46224</v>
      </c>
      <c r="AJ51" s="52">
        <v>46225</v>
      </c>
      <c r="AK51" s="52">
        <v>46226</v>
      </c>
      <c r="AL51" s="53">
        <v>46227</v>
      </c>
      <c r="AM51" s="51">
        <v>46230</v>
      </c>
      <c r="AN51" s="52">
        <v>46231</v>
      </c>
      <c r="AO51" s="52">
        <v>46232</v>
      </c>
      <c r="AP51" s="52">
        <v>46233</v>
      </c>
      <c r="AQ51" s="53">
        <v>46234</v>
      </c>
      <c r="AR51" s="51">
        <v>46237</v>
      </c>
      <c r="AS51" s="52">
        <v>46238</v>
      </c>
      <c r="AT51" s="52">
        <v>46239</v>
      </c>
      <c r="AU51" s="52">
        <v>46240</v>
      </c>
      <c r="AV51" s="53">
        <v>46241</v>
      </c>
      <c r="AW51" s="51">
        <v>46244</v>
      </c>
      <c r="AX51" s="52">
        <v>46245</v>
      </c>
      <c r="AY51" s="52">
        <v>46246</v>
      </c>
      <c r="AZ51" s="52">
        <v>46247</v>
      </c>
      <c r="BA51" s="53">
        <v>46248</v>
      </c>
      <c r="BB51" s="51">
        <v>46251</v>
      </c>
      <c r="BC51" s="52">
        <v>46252</v>
      </c>
      <c r="BD51" s="52">
        <v>46253</v>
      </c>
      <c r="BE51" s="52">
        <v>46254</v>
      </c>
      <c r="BF51" s="53">
        <v>46255</v>
      </c>
      <c r="BG51" s="51">
        <v>46258</v>
      </c>
      <c r="BH51" s="52">
        <v>46259</v>
      </c>
      <c r="BI51" s="52">
        <v>46260</v>
      </c>
      <c r="BJ51" s="52">
        <v>46261</v>
      </c>
      <c r="BK51" s="53">
        <v>46262</v>
      </c>
      <c r="BL51" s="51">
        <v>46265</v>
      </c>
      <c r="BM51" s="52">
        <v>46266</v>
      </c>
      <c r="BN51" s="52">
        <v>46267</v>
      </c>
      <c r="BO51" s="52">
        <v>46268</v>
      </c>
      <c r="BP51" s="53">
        <v>46269</v>
      </c>
      <c r="BQ51" s="51">
        <v>46272</v>
      </c>
      <c r="BR51" s="52">
        <v>46273</v>
      </c>
      <c r="BS51" s="52">
        <v>46274</v>
      </c>
      <c r="BT51" s="52">
        <v>46275</v>
      </c>
      <c r="BU51" s="53">
        <v>46276</v>
      </c>
      <c r="BV51" s="51">
        <v>46279</v>
      </c>
      <c r="BW51" s="52">
        <v>46280</v>
      </c>
      <c r="BX51" s="52">
        <v>46281</v>
      </c>
      <c r="BY51" s="52">
        <v>46282</v>
      </c>
      <c r="BZ51" s="53">
        <v>46283</v>
      </c>
      <c r="CA51" s="51">
        <v>46286</v>
      </c>
      <c r="CB51" s="52">
        <v>46287</v>
      </c>
      <c r="CC51" s="52">
        <v>46288</v>
      </c>
      <c r="CD51" s="52">
        <v>46289</v>
      </c>
      <c r="CE51" s="53">
        <v>46290</v>
      </c>
      <c r="CF51" s="51">
        <v>46293</v>
      </c>
      <c r="CG51" s="52">
        <v>46294</v>
      </c>
      <c r="CH51" s="52">
        <v>46295</v>
      </c>
      <c r="CI51" s="52">
        <v>46296</v>
      </c>
      <c r="CJ51" s="53">
        <v>46297</v>
      </c>
      <c r="CK51" s="51">
        <f t="shared" si="32"/>
        <v>46300</v>
      </c>
      <c r="CL51" s="52">
        <f t="shared" si="597"/>
        <v>46301</v>
      </c>
      <c r="CM51" s="52">
        <f t="shared" si="597"/>
        <v>46302</v>
      </c>
      <c r="CN51" s="52">
        <f t="shared" si="597"/>
        <v>46303</v>
      </c>
      <c r="CO51" s="53">
        <f t="shared" si="597"/>
        <v>46304</v>
      </c>
      <c r="CP51" s="51">
        <f t="shared" si="61"/>
        <v>46307</v>
      </c>
      <c r="CQ51" s="52">
        <f t="shared" si="598"/>
        <v>46308</v>
      </c>
      <c r="CR51" s="52">
        <f t="shared" si="598"/>
        <v>46309</v>
      </c>
      <c r="CS51" s="52">
        <f t="shared" si="598"/>
        <v>46310</v>
      </c>
      <c r="CT51" s="53">
        <f t="shared" si="598"/>
        <v>46311</v>
      </c>
      <c r="CU51" s="51">
        <f t="shared" si="35"/>
        <v>46314</v>
      </c>
      <c r="CV51" s="52">
        <f t="shared" si="599"/>
        <v>46315</v>
      </c>
      <c r="CW51" s="52">
        <f t="shared" si="599"/>
        <v>46316</v>
      </c>
      <c r="CX51" s="52">
        <f t="shared" si="599"/>
        <v>46317</v>
      </c>
      <c r="CY51" s="53">
        <f t="shared" si="599"/>
        <v>46318</v>
      </c>
      <c r="CZ51" s="51">
        <f t="shared" si="37"/>
        <v>46321</v>
      </c>
      <c r="DA51" s="52">
        <f t="shared" si="600"/>
        <v>46322</v>
      </c>
      <c r="DB51" s="52">
        <f t="shared" si="600"/>
        <v>46323</v>
      </c>
      <c r="DC51" s="52">
        <f t="shared" si="600"/>
        <v>46324</v>
      </c>
      <c r="DD51" s="53">
        <f t="shared" si="600"/>
        <v>46325</v>
      </c>
      <c r="DE51" s="51">
        <f t="shared" si="39"/>
        <v>46328</v>
      </c>
      <c r="DF51" s="52">
        <f t="shared" si="601"/>
        <v>46329</v>
      </c>
      <c r="DG51" s="52">
        <f t="shared" si="601"/>
        <v>46330</v>
      </c>
      <c r="DH51" s="52">
        <f t="shared" si="601"/>
        <v>46331</v>
      </c>
      <c r="DI51" s="53">
        <f t="shared" si="601"/>
        <v>46332</v>
      </c>
      <c r="DJ51" s="51">
        <f t="shared" si="41"/>
        <v>46335</v>
      </c>
      <c r="DK51" s="52">
        <f t="shared" si="602"/>
        <v>46336</v>
      </c>
      <c r="DL51" s="52">
        <f t="shared" si="602"/>
        <v>46337</v>
      </c>
      <c r="DM51" s="52">
        <f t="shared" si="602"/>
        <v>46338</v>
      </c>
      <c r="DN51" s="53">
        <f t="shared" si="602"/>
        <v>46339</v>
      </c>
      <c r="DO51" s="51">
        <f t="shared" si="43"/>
        <v>46342</v>
      </c>
      <c r="DP51" s="52">
        <f t="shared" si="603"/>
        <v>46343</v>
      </c>
      <c r="DQ51" s="52">
        <f t="shared" si="603"/>
        <v>46344</v>
      </c>
      <c r="DR51" s="52">
        <f t="shared" si="603"/>
        <v>46345</v>
      </c>
      <c r="DS51" s="53">
        <f t="shared" si="603"/>
        <v>46346</v>
      </c>
      <c r="DT51" s="51">
        <f t="shared" si="45"/>
        <v>46349</v>
      </c>
      <c r="DU51" s="52">
        <f t="shared" si="604"/>
        <v>46350</v>
      </c>
      <c r="DV51" s="52">
        <f t="shared" si="604"/>
        <v>46351</v>
      </c>
      <c r="DW51" s="52">
        <f t="shared" si="604"/>
        <v>46352</v>
      </c>
      <c r="DX51" s="53">
        <f t="shared" si="604"/>
        <v>46353</v>
      </c>
      <c r="DY51" s="51">
        <f t="shared" si="47"/>
        <v>46356</v>
      </c>
      <c r="DZ51" s="52">
        <f t="shared" si="605"/>
        <v>46357</v>
      </c>
      <c r="EA51" s="52">
        <f t="shared" si="605"/>
        <v>46358</v>
      </c>
      <c r="EB51" s="52">
        <f t="shared" si="605"/>
        <v>46359</v>
      </c>
      <c r="EC51" s="53">
        <f t="shared" si="605"/>
        <v>46360</v>
      </c>
      <c r="ED51" s="51">
        <f t="shared" si="49"/>
        <v>46363</v>
      </c>
      <c r="EE51" s="52">
        <f t="shared" si="606"/>
        <v>46364</v>
      </c>
      <c r="EF51" s="52">
        <f t="shared" si="606"/>
        <v>46365</v>
      </c>
      <c r="EG51" s="52">
        <f t="shared" si="606"/>
        <v>46366</v>
      </c>
      <c r="EH51" s="53">
        <f t="shared" si="606"/>
        <v>46367</v>
      </c>
      <c r="EI51" s="51">
        <f t="shared" si="51"/>
        <v>46370</v>
      </c>
      <c r="EJ51" s="52">
        <f t="shared" si="607"/>
        <v>46371</v>
      </c>
      <c r="EK51" s="52">
        <f t="shared" si="607"/>
        <v>46372</v>
      </c>
      <c r="EL51" s="52">
        <f t="shared" si="607"/>
        <v>46373</v>
      </c>
      <c r="EM51" s="53">
        <f t="shared" si="607"/>
        <v>46374</v>
      </c>
      <c r="EN51" s="51">
        <f t="shared" si="53"/>
        <v>46377</v>
      </c>
      <c r="EO51" s="52">
        <f t="shared" si="608"/>
        <v>46378</v>
      </c>
      <c r="EP51" s="52">
        <f t="shared" si="608"/>
        <v>46379</v>
      </c>
      <c r="EQ51" s="52">
        <f t="shared" si="608"/>
        <v>46380</v>
      </c>
      <c r="ER51" s="53">
        <f t="shared" si="608"/>
        <v>46381</v>
      </c>
      <c r="ES51" s="51">
        <f t="shared" si="55"/>
        <v>46384</v>
      </c>
      <c r="ET51" s="52">
        <f t="shared" si="609"/>
        <v>46385</v>
      </c>
      <c r="EU51" s="52">
        <f t="shared" si="609"/>
        <v>46386</v>
      </c>
      <c r="EV51" s="52">
        <f t="shared" si="609"/>
        <v>46387</v>
      </c>
      <c r="EW51" s="53">
        <f t="shared" si="609"/>
        <v>46388</v>
      </c>
      <c r="EX51" s="51">
        <f t="shared" si="57"/>
        <v>46391</v>
      </c>
      <c r="EY51" s="52">
        <f t="shared" ref="EY51:FB52" si="610">EX48+1</f>
        <v>46392</v>
      </c>
      <c r="EZ51" s="52">
        <f t="shared" si="610"/>
        <v>46393</v>
      </c>
      <c r="FA51" s="52">
        <f t="shared" si="610"/>
        <v>46394</v>
      </c>
      <c r="FB51" s="53">
        <f t="shared" si="610"/>
        <v>46395</v>
      </c>
    </row>
    <row r="52" spans="1:158" ht="18" customHeight="1" outlineLevel="2">
      <c r="A52" s="26"/>
      <c r="B52" s="34"/>
      <c r="C52" s="34"/>
      <c r="D52" s="41" t="s">
        <v>106</v>
      </c>
      <c r="E52" s="42"/>
      <c r="F52" s="43"/>
      <c r="G52" s="60"/>
      <c r="H52" s="71" t="s">
        <v>18</v>
      </c>
      <c r="I52" s="71" t="s">
        <v>18</v>
      </c>
      <c r="J52" s="71" t="s">
        <v>18</v>
      </c>
      <c r="K52" s="73"/>
      <c r="L52" s="74"/>
      <c r="M52" s="46">
        <v>46252</v>
      </c>
      <c r="N52" s="44">
        <v>46304</v>
      </c>
      <c r="O52" s="48">
        <f>4/132/5+5/132/6+5/132/5+5/132/5+5/132/5+6/132/6+5/132/5</f>
        <v>5.0252525252525257E-2</v>
      </c>
      <c r="P52" s="14"/>
      <c r="Q52" s="15"/>
      <c r="R52" s="14"/>
      <c r="S52" s="51">
        <f t="shared" si="30"/>
        <v>46202</v>
      </c>
      <c r="T52" s="52">
        <f t="shared" si="596"/>
        <v>46203</v>
      </c>
      <c r="U52" s="52">
        <f t="shared" si="596"/>
        <v>46204</v>
      </c>
      <c r="V52" s="52">
        <f t="shared" si="596"/>
        <v>46205</v>
      </c>
      <c r="W52" s="53">
        <f t="shared" si="596"/>
        <v>46206</v>
      </c>
      <c r="X52" s="51">
        <v>46209</v>
      </c>
      <c r="Y52" s="52">
        <v>46210</v>
      </c>
      <c r="Z52" s="52">
        <v>46211</v>
      </c>
      <c r="AA52" s="52">
        <v>46212</v>
      </c>
      <c r="AB52" s="53">
        <v>46213</v>
      </c>
      <c r="AC52" s="51">
        <v>46216</v>
      </c>
      <c r="AD52" s="52">
        <v>46217</v>
      </c>
      <c r="AE52" s="52">
        <v>46218</v>
      </c>
      <c r="AF52" s="52">
        <v>46219</v>
      </c>
      <c r="AG52" s="53">
        <v>46220</v>
      </c>
      <c r="AH52" s="51">
        <v>46223</v>
      </c>
      <c r="AI52" s="52">
        <v>46224</v>
      </c>
      <c r="AJ52" s="52">
        <v>46225</v>
      </c>
      <c r="AK52" s="52">
        <v>46226</v>
      </c>
      <c r="AL52" s="53">
        <v>46227</v>
      </c>
      <c r="AM52" s="51">
        <v>46230</v>
      </c>
      <c r="AN52" s="52">
        <v>46231</v>
      </c>
      <c r="AO52" s="52">
        <v>46232</v>
      </c>
      <c r="AP52" s="52">
        <v>46233</v>
      </c>
      <c r="AQ52" s="53">
        <v>46234</v>
      </c>
      <c r="AR52" s="51">
        <v>46237</v>
      </c>
      <c r="AS52" s="52">
        <v>46238</v>
      </c>
      <c r="AT52" s="52">
        <v>46239</v>
      </c>
      <c r="AU52" s="52">
        <v>46240</v>
      </c>
      <c r="AV52" s="53">
        <v>46241</v>
      </c>
      <c r="AW52" s="51">
        <v>46244</v>
      </c>
      <c r="AX52" s="52">
        <v>46245</v>
      </c>
      <c r="AY52" s="52">
        <v>46246</v>
      </c>
      <c r="AZ52" s="52">
        <v>46247</v>
      </c>
      <c r="BA52" s="53">
        <v>46248</v>
      </c>
      <c r="BB52" s="51">
        <v>46251</v>
      </c>
      <c r="BC52" s="52">
        <v>46252</v>
      </c>
      <c r="BD52" s="52">
        <v>46253</v>
      </c>
      <c r="BE52" s="52">
        <v>46254</v>
      </c>
      <c r="BF52" s="53">
        <v>46255</v>
      </c>
      <c r="BG52" s="51">
        <v>46258</v>
      </c>
      <c r="BH52" s="52">
        <v>46259</v>
      </c>
      <c r="BI52" s="52">
        <v>46260</v>
      </c>
      <c r="BJ52" s="52">
        <v>46261</v>
      </c>
      <c r="BK52" s="53">
        <v>46262</v>
      </c>
      <c r="BL52" s="51">
        <v>46265</v>
      </c>
      <c r="BM52" s="52">
        <v>46266</v>
      </c>
      <c r="BN52" s="52">
        <v>46267</v>
      </c>
      <c r="BO52" s="52">
        <v>46268</v>
      </c>
      <c r="BP52" s="53">
        <v>46269</v>
      </c>
      <c r="BQ52" s="51">
        <v>46272</v>
      </c>
      <c r="BR52" s="52">
        <v>46273</v>
      </c>
      <c r="BS52" s="52">
        <v>46274</v>
      </c>
      <c r="BT52" s="52">
        <v>46275</v>
      </c>
      <c r="BU52" s="53">
        <v>46276</v>
      </c>
      <c r="BV52" s="51">
        <v>46279</v>
      </c>
      <c r="BW52" s="52">
        <v>46280</v>
      </c>
      <c r="BX52" s="52">
        <v>46281</v>
      </c>
      <c r="BY52" s="52">
        <v>46282</v>
      </c>
      <c r="BZ52" s="53">
        <v>46283</v>
      </c>
      <c r="CA52" s="51">
        <v>46286</v>
      </c>
      <c r="CB52" s="52">
        <v>46287</v>
      </c>
      <c r="CC52" s="52">
        <v>46288</v>
      </c>
      <c r="CD52" s="52">
        <v>46289</v>
      </c>
      <c r="CE52" s="53">
        <v>46290</v>
      </c>
      <c r="CF52" s="51">
        <v>46293</v>
      </c>
      <c r="CG52" s="52">
        <v>46294</v>
      </c>
      <c r="CH52" s="52">
        <v>46295</v>
      </c>
      <c r="CI52" s="52">
        <v>46296</v>
      </c>
      <c r="CJ52" s="53">
        <v>46297</v>
      </c>
      <c r="CK52" s="51">
        <f t="shared" si="32"/>
        <v>46300</v>
      </c>
      <c r="CL52" s="52">
        <f t="shared" si="597"/>
        <v>46301</v>
      </c>
      <c r="CM52" s="52">
        <f t="shared" si="597"/>
        <v>46302</v>
      </c>
      <c r="CN52" s="52">
        <f t="shared" si="597"/>
        <v>46303</v>
      </c>
      <c r="CO52" s="53">
        <f t="shared" si="597"/>
        <v>46304</v>
      </c>
      <c r="CP52" s="51">
        <f t="shared" si="61"/>
        <v>46307</v>
      </c>
      <c r="CQ52" s="52">
        <f t="shared" si="598"/>
        <v>46308</v>
      </c>
      <c r="CR52" s="52">
        <f t="shared" si="598"/>
        <v>46309</v>
      </c>
      <c r="CS52" s="52">
        <f t="shared" si="598"/>
        <v>46310</v>
      </c>
      <c r="CT52" s="53">
        <f t="shared" si="598"/>
        <v>46311</v>
      </c>
      <c r="CU52" s="51">
        <f t="shared" si="35"/>
        <v>46314</v>
      </c>
      <c r="CV52" s="52">
        <f t="shared" si="599"/>
        <v>46315</v>
      </c>
      <c r="CW52" s="52">
        <f t="shared" si="599"/>
        <v>46316</v>
      </c>
      <c r="CX52" s="52">
        <f t="shared" si="599"/>
        <v>46317</v>
      </c>
      <c r="CY52" s="53">
        <f t="shared" si="599"/>
        <v>46318</v>
      </c>
      <c r="CZ52" s="51">
        <f t="shared" si="37"/>
        <v>46321</v>
      </c>
      <c r="DA52" s="52">
        <f t="shared" si="600"/>
        <v>46322</v>
      </c>
      <c r="DB52" s="52">
        <f t="shared" si="600"/>
        <v>46323</v>
      </c>
      <c r="DC52" s="52">
        <f t="shared" si="600"/>
        <v>46324</v>
      </c>
      <c r="DD52" s="53">
        <f t="shared" si="600"/>
        <v>46325</v>
      </c>
      <c r="DE52" s="51">
        <f t="shared" si="39"/>
        <v>46328</v>
      </c>
      <c r="DF52" s="52">
        <f t="shared" si="601"/>
        <v>46329</v>
      </c>
      <c r="DG52" s="52">
        <f t="shared" si="601"/>
        <v>46330</v>
      </c>
      <c r="DH52" s="52">
        <f t="shared" si="601"/>
        <v>46331</v>
      </c>
      <c r="DI52" s="53">
        <f t="shared" si="601"/>
        <v>46332</v>
      </c>
      <c r="DJ52" s="51">
        <f t="shared" si="41"/>
        <v>46335</v>
      </c>
      <c r="DK52" s="52">
        <f t="shared" si="602"/>
        <v>46336</v>
      </c>
      <c r="DL52" s="52">
        <f t="shared" si="602"/>
        <v>46337</v>
      </c>
      <c r="DM52" s="52">
        <f t="shared" si="602"/>
        <v>46338</v>
      </c>
      <c r="DN52" s="53">
        <f t="shared" si="602"/>
        <v>46339</v>
      </c>
      <c r="DO52" s="51">
        <f t="shared" si="43"/>
        <v>46342</v>
      </c>
      <c r="DP52" s="52">
        <f t="shared" si="603"/>
        <v>46343</v>
      </c>
      <c r="DQ52" s="52">
        <f t="shared" si="603"/>
        <v>46344</v>
      </c>
      <c r="DR52" s="52">
        <f t="shared" si="603"/>
        <v>46345</v>
      </c>
      <c r="DS52" s="53">
        <f t="shared" si="603"/>
        <v>46346</v>
      </c>
      <c r="DT52" s="51">
        <f t="shared" si="45"/>
        <v>46349</v>
      </c>
      <c r="DU52" s="52">
        <f t="shared" si="604"/>
        <v>46350</v>
      </c>
      <c r="DV52" s="52">
        <f t="shared" si="604"/>
        <v>46351</v>
      </c>
      <c r="DW52" s="52">
        <f t="shared" si="604"/>
        <v>46352</v>
      </c>
      <c r="DX52" s="53">
        <f t="shared" si="604"/>
        <v>46353</v>
      </c>
      <c r="DY52" s="51">
        <f t="shared" si="47"/>
        <v>46356</v>
      </c>
      <c r="DZ52" s="52">
        <f t="shared" si="605"/>
        <v>46357</v>
      </c>
      <c r="EA52" s="52">
        <f t="shared" si="605"/>
        <v>46358</v>
      </c>
      <c r="EB52" s="52">
        <f t="shared" si="605"/>
        <v>46359</v>
      </c>
      <c r="EC52" s="53">
        <f t="shared" si="605"/>
        <v>46360</v>
      </c>
      <c r="ED52" s="51">
        <f t="shared" si="49"/>
        <v>46363</v>
      </c>
      <c r="EE52" s="52">
        <f t="shared" si="606"/>
        <v>46364</v>
      </c>
      <c r="EF52" s="52">
        <f t="shared" si="606"/>
        <v>46365</v>
      </c>
      <c r="EG52" s="52">
        <f t="shared" si="606"/>
        <v>46366</v>
      </c>
      <c r="EH52" s="53">
        <f t="shared" si="606"/>
        <v>46367</v>
      </c>
      <c r="EI52" s="51">
        <f t="shared" si="51"/>
        <v>46370</v>
      </c>
      <c r="EJ52" s="52">
        <f t="shared" si="607"/>
        <v>46371</v>
      </c>
      <c r="EK52" s="52">
        <f t="shared" si="607"/>
        <v>46372</v>
      </c>
      <c r="EL52" s="52">
        <f t="shared" si="607"/>
        <v>46373</v>
      </c>
      <c r="EM52" s="53">
        <f t="shared" si="607"/>
        <v>46374</v>
      </c>
      <c r="EN52" s="51">
        <f t="shared" si="53"/>
        <v>46377</v>
      </c>
      <c r="EO52" s="52">
        <f t="shared" si="608"/>
        <v>46378</v>
      </c>
      <c r="EP52" s="52">
        <f t="shared" si="608"/>
        <v>46379</v>
      </c>
      <c r="EQ52" s="52">
        <f t="shared" si="608"/>
        <v>46380</v>
      </c>
      <c r="ER52" s="53">
        <f t="shared" si="608"/>
        <v>46381</v>
      </c>
      <c r="ES52" s="51">
        <f t="shared" si="55"/>
        <v>46384</v>
      </c>
      <c r="ET52" s="52">
        <f t="shared" si="609"/>
        <v>46385</v>
      </c>
      <c r="EU52" s="52">
        <f t="shared" si="609"/>
        <v>46386</v>
      </c>
      <c r="EV52" s="52">
        <f t="shared" si="609"/>
        <v>46387</v>
      </c>
      <c r="EW52" s="53">
        <f t="shared" si="609"/>
        <v>46388</v>
      </c>
      <c r="EX52" s="51">
        <f t="shared" si="57"/>
        <v>46391</v>
      </c>
      <c r="EY52" s="52">
        <f t="shared" si="610"/>
        <v>46392</v>
      </c>
      <c r="EZ52" s="52">
        <f t="shared" si="610"/>
        <v>46393</v>
      </c>
      <c r="FA52" s="52">
        <f t="shared" si="610"/>
        <v>46394</v>
      </c>
      <c r="FB52" s="53">
        <f t="shared" si="610"/>
        <v>46395</v>
      </c>
    </row>
    <row r="53" spans="1:158" ht="23.25" customHeight="1">
      <c r="A53" s="26"/>
      <c r="B53" s="27" t="s">
        <v>128</v>
      </c>
      <c r="C53" s="28"/>
      <c r="D53" s="29"/>
      <c r="E53" s="30"/>
      <c r="F53" s="31"/>
      <c r="G53" s="75"/>
      <c r="H53" s="76"/>
      <c r="I53" s="76"/>
      <c r="J53" s="77"/>
      <c r="K53" s="55"/>
      <c r="L53" s="55"/>
      <c r="M53" s="32">
        <f>MIN(M54:M62)</f>
        <v>46307</v>
      </c>
      <c r="N53" s="33">
        <f>MAX(N54:N62)</f>
        <v>46345</v>
      </c>
      <c r="O53" s="25">
        <f>O54+O58+O62</f>
        <v>9.0909090909090912E-2</v>
      </c>
      <c r="P53" s="25"/>
      <c r="Q53" s="25"/>
      <c r="R53" s="25"/>
      <c r="S53" s="51">
        <f t="shared" si="30"/>
        <v>46202</v>
      </c>
      <c r="T53" s="52">
        <f t="shared" si="596"/>
        <v>46203</v>
      </c>
      <c r="U53" s="52">
        <f t="shared" si="596"/>
        <v>46204</v>
      </c>
      <c r="V53" s="52">
        <f t="shared" si="596"/>
        <v>46205</v>
      </c>
      <c r="W53" s="53">
        <f t="shared" si="596"/>
        <v>46206</v>
      </c>
      <c r="X53" s="51">
        <v>46209</v>
      </c>
      <c r="Y53" s="52">
        <v>46210</v>
      </c>
      <c r="Z53" s="52">
        <v>46211</v>
      </c>
      <c r="AA53" s="52">
        <v>46212</v>
      </c>
      <c r="AB53" s="53">
        <v>46213</v>
      </c>
      <c r="AC53" s="51">
        <v>46216</v>
      </c>
      <c r="AD53" s="52">
        <v>46217</v>
      </c>
      <c r="AE53" s="52">
        <v>46218</v>
      </c>
      <c r="AF53" s="52">
        <v>46219</v>
      </c>
      <c r="AG53" s="53">
        <v>46220</v>
      </c>
      <c r="AH53" s="51">
        <v>46223</v>
      </c>
      <c r="AI53" s="52">
        <v>46224</v>
      </c>
      <c r="AJ53" s="52">
        <v>46225</v>
      </c>
      <c r="AK53" s="52">
        <v>46226</v>
      </c>
      <c r="AL53" s="53">
        <v>46227</v>
      </c>
      <c r="AM53" s="51">
        <v>46230</v>
      </c>
      <c r="AN53" s="52">
        <v>46231</v>
      </c>
      <c r="AO53" s="52">
        <v>46232</v>
      </c>
      <c r="AP53" s="52">
        <v>46233</v>
      </c>
      <c r="AQ53" s="53">
        <v>46234</v>
      </c>
      <c r="AR53" s="51">
        <v>46237</v>
      </c>
      <c r="AS53" s="52">
        <v>46238</v>
      </c>
      <c r="AT53" s="52">
        <v>46239</v>
      </c>
      <c r="AU53" s="52">
        <v>46240</v>
      </c>
      <c r="AV53" s="53">
        <v>46241</v>
      </c>
      <c r="AW53" s="51">
        <v>46244</v>
      </c>
      <c r="AX53" s="52">
        <v>46245</v>
      </c>
      <c r="AY53" s="52">
        <v>46246</v>
      </c>
      <c r="AZ53" s="52">
        <v>46247</v>
      </c>
      <c r="BA53" s="53">
        <v>46248</v>
      </c>
      <c r="BB53" s="51">
        <v>46251</v>
      </c>
      <c r="BC53" s="52">
        <v>46252</v>
      </c>
      <c r="BD53" s="52">
        <v>46253</v>
      </c>
      <c r="BE53" s="52">
        <v>46254</v>
      </c>
      <c r="BF53" s="53">
        <v>46255</v>
      </c>
      <c r="BG53" s="51">
        <v>46258</v>
      </c>
      <c r="BH53" s="52">
        <v>46259</v>
      </c>
      <c r="BI53" s="52">
        <v>46260</v>
      </c>
      <c r="BJ53" s="52">
        <v>46261</v>
      </c>
      <c r="BK53" s="53">
        <v>46262</v>
      </c>
      <c r="BL53" s="51">
        <v>46265</v>
      </c>
      <c r="BM53" s="52">
        <v>46266</v>
      </c>
      <c r="BN53" s="52">
        <v>46267</v>
      </c>
      <c r="BO53" s="52">
        <v>46268</v>
      </c>
      <c r="BP53" s="53">
        <v>46269</v>
      </c>
      <c r="BQ53" s="51">
        <v>46272</v>
      </c>
      <c r="BR53" s="52">
        <v>46273</v>
      </c>
      <c r="BS53" s="52">
        <v>46274</v>
      </c>
      <c r="BT53" s="52">
        <v>46275</v>
      </c>
      <c r="BU53" s="53">
        <v>46276</v>
      </c>
      <c r="BV53" s="51">
        <v>46279</v>
      </c>
      <c r="BW53" s="52">
        <v>46280</v>
      </c>
      <c r="BX53" s="52">
        <v>46281</v>
      </c>
      <c r="BY53" s="52">
        <v>46282</v>
      </c>
      <c r="BZ53" s="53">
        <v>46283</v>
      </c>
      <c r="CA53" s="51">
        <v>46286</v>
      </c>
      <c r="CB53" s="52">
        <v>46287</v>
      </c>
      <c r="CC53" s="52">
        <v>46288</v>
      </c>
      <c r="CD53" s="52">
        <v>46289</v>
      </c>
      <c r="CE53" s="53">
        <v>46290</v>
      </c>
      <c r="CF53" s="51">
        <v>46293</v>
      </c>
      <c r="CG53" s="52">
        <v>46294</v>
      </c>
      <c r="CH53" s="52">
        <v>46295</v>
      </c>
      <c r="CI53" s="52">
        <v>46296</v>
      </c>
      <c r="CJ53" s="53">
        <v>46297</v>
      </c>
      <c r="CK53" s="51">
        <f t="shared" si="32"/>
        <v>46300</v>
      </c>
      <c r="CL53" s="52">
        <f t="shared" si="597"/>
        <v>46301</v>
      </c>
      <c r="CM53" s="52">
        <f t="shared" si="597"/>
        <v>46302</v>
      </c>
      <c r="CN53" s="52">
        <f t="shared" si="597"/>
        <v>46303</v>
      </c>
      <c r="CO53" s="53">
        <f t="shared" si="597"/>
        <v>46304</v>
      </c>
      <c r="CP53" s="51">
        <f t="shared" si="61"/>
        <v>46307</v>
      </c>
      <c r="CQ53" s="52">
        <f t="shared" si="598"/>
        <v>46308</v>
      </c>
      <c r="CR53" s="52">
        <f t="shared" si="598"/>
        <v>46309</v>
      </c>
      <c r="CS53" s="52">
        <f t="shared" si="598"/>
        <v>46310</v>
      </c>
      <c r="CT53" s="53">
        <f t="shared" si="598"/>
        <v>46311</v>
      </c>
      <c r="CU53" s="51">
        <f t="shared" si="35"/>
        <v>46314</v>
      </c>
      <c r="CV53" s="52">
        <f t="shared" si="599"/>
        <v>46315</v>
      </c>
      <c r="CW53" s="52">
        <f t="shared" si="599"/>
        <v>46316</v>
      </c>
      <c r="CX53" s="52">
        <f t="shared" si="599"/>
        <v>46317</v>
      </c>
      <c r="CY53" s="53">
        <f t="shared" si="599"/>
        <v>46318</v>
      </c>
      <c r="CZ53" s="51">
        <f t="shared" si="37"/>
        <v>46321</v>
      </c>
      <c r="DA53" s="52">
        <f t="shared" si="600"/>
        <v>46322</v>
      </c>
      <c r="DB53" s="52">
        <f t="shared" si="600"/>
        <v>46323</v>
      </c>
      <c r="DC53" s="52">
        <f t="shared" si="600"/>
        <v>46324</v>
      </c>
      <c r="DD53" s="53">
        <f t="shared" si="600"/>
        <v>46325</v>
      </c>
      <c r="DE53" s="51">
        <f t="shared" si="39"/>
        <v>46328</v>
      </c>
      <c r="DF53" s="52">
        <f t="shared" si="601"/>
        <v>46329</v>
      </c>
      <c r="DG53" s="52">
        <f t="shared" si="601"/>
        <v>46330</v>
      </c>
      <c r="DH53" s="52">
        <f t="shared" si="601"/>
        <v>46331</v>
      </c>
      <c r="DI53" s="53">
        <f t="shared" si="601"/>
        <v>46332</v>
      </c>
      <c r="DJ53" s="51">
        <f t="shared" si="41"/>
        <v>46335</v>
      </c>
      <c r="DK53" s="52">
        <f t="shared" si="602"/>
        <v>46336</v>
      </c>
      <c r="DL53" s="52">
        <f t="shared" si="602"/>
        <v>46337</v>
      </c>
      <c r="DM53" s="52">
        <f t="shared" si="602"/>
        <v>46338</v>
      </c>
      <c r="DN53" s="53">
        <f t="shared" si="602"/>
        <v>46339</v>
      </c>
      <c r="DO53" s="51">
        <f t="shared" si="43"/>
        <v>46342</v>
      </c>
      <c r="DP53" s="52">
        <f t="shared" si="603"/>
        <v>46343</v>
      </c>
      <c r="DQ53" s="52">
        <f t="shared" si="603"/>
        <v>46344</v>
      </c>
      <c r="DR53" s="52">
        <f t="shared" si="603"/>
        <v>46345</v>
      </c>
      <c r="DS53" s="53">
        <f t="shared" si="603"/>
        <v>46346</v>
      </c>
      <c r="DT53" s="51">
        <f t="shared" si="45"/>
        <v>46349</v>
      </c>
      <c r="DU53" s="52">
        <f t="shared" si="604"/>
        <v>46350</v>
      </c>
      <c r="DV53" s="52">
        <f t="shared" si="604"/>
        <v>46351</v>
      </c>
      <c r="DW53" s="52">
        <f t="shared" si="604"/>
        <v>46352</v>
      </c>
      <c r="DX53" s="53">
        <f t="shared" si="604"/>
        <v>46353</v>
      </c>
      <c r="DY53" s="51">
        <f t="shared" si="47"/>
        <v>46356</v>
      </c>
      <c r="DZ53" s="52">
        <f t="shared" si="605"/>
        <v>46357</v>
      </c>
      <c r="EA53" s="52">
        <f t="shared" si="605"/>
        <v>46358</v>
      </c>
      <c r="EB53" s="52">
        <f t="shared" si="605"/>
        <v>46359</v>
      </c>
      <c r="EC53" s="53">
        <f t="shared" si="605"/>
        <v>46360</v>
      </c>
      <c r="ED53" s="51">
        <f t="shared" si="49"/>
        <v>46363</v>
      </c>
      <c r="EE53" s="52">
        <f t="shared" si="606"/>
        <v>46364</v>
      </c>
      <c r="EF53" s="52">
        <f t="shared" si="606"/>
        <v>46365</v>
      </c>
      <c r="EG53" s="52">
        <f t="shared" si="606"/>
        <v>46366</v>
      </c>
      <c r="EH53" s="53">
        <f t="shared" si="606"/>
        <v>46367</v>
      </c>
      <c r="EI53" s="51">
        <f t="shared" si="51"/>
        <v>46370</v>
      </c>
      <c r="EJ53" s="52">
        <f t="shared" si="607"/>
        <v>46371</v>
      </c>
      <c r="EK53" s="52">
        <f t="shared" si="607"/>
        <v>46372</v>
      </c>
      <c r="EL53" s="52">
        <f t="shared" si="607"/>
        <v>46373</v>
      </c>
      <c r="EM53" s="53">
        <f t="shared" si="607"/>
        <v>46374</v>
      </c>
      <c r="EN53" s="51">
        <f t="shared" si="53"/>
        <v>46377</v>
      </c>
      <c r="EO53" s="52">
        <f t="shared" si="608"/>
        <v>46378</v>
      </c>
      <c r="EP53" s="52">
        <f t="shared" si="608"/>
        <v>46379</v>
      </c>
      <c r="EQ53" s="52">
        <f t="shared" si="608"/>
        <v>46380</v>
      </c>
      <c r="ER53" s="53">
        <f t="shared" si="608"/>
        <v>46381</v>
      </c>
      <c r="ES53" s="51">
        <f t="shared" si="55"/>
        <v>46384</v>
      </c>
      <c r="ET53" s="52">
        <f t="shared" si="609"/>
        <v>46385</v>
      </c>
      <c r="EU53" s="52">
        <f t="shared" si="609"/>
        <v>46386</v>
      </c>
      <c r="EV53" s="52">
        <f t="shared" si="609"/>
        <v>46387</v>
      </c>
      <c r="EW53" s="53">
        <f t="shared" si="609"/>
        <v>46388</v>
      </c>
      <c r="EX53" s="51">
        <f t="shared" si="57"/>
        <v>46391</v>
      </c>
      <c r="EY53" s="52" t="e">
        <f>#REF!+1</f>
        <v>#REF!</v>
      </c>
      <c r="EZ53" s="52" t="e">
        <f>#REF!+1</f>
        <v>#REF!</v>
      </c>
      <c r="FA53" s="52" t="e">
        <f>#REF!+1</f>
        <v>#REF!</v>
      </c>
      <c r="FB53" s="53" t="e">
        <f>#REF!+1</f>
        <v>#REF!</v>
      </c>
    </row>
    <row r="54" spans="1:158" ht="17.25" customHeight="1" outlineLevel="1">
      <c r="A54" s="26"/>
      <c r="B54" s="34"/>
      <c r="C54" s="35" t="s">
        <v>129</v>
      </c>
      <c r="D54" s="36"/>
      <c r="E54" s="37"/>
      <c r="F54" s="38"/>
      <c r="G54" s="59"/>
      <c r="H54" s="67"/>
      <c r="I54" s="67"/>
      <c r="J54" s="68"/>
      <c r="K54" s="69"/>
      <c r="L54" s="70"/>
      <c r="M54" s="39">
        <f>MIN(M55:M57)</f>
        <v>46307</v>
      </c>
      <c r="N54" s="40">
        <f>MAX(N55:N57)</f>
        <v>46325</v>
      </c>
      <c r="O54" s="24">
        <f>SUM(O55:O57)</f>
        <v>3.787878787878788E-2</v>
      </c>
      <c r="P54" s="24"/>
      <c r="Q54" s="24"/>
      <c r="R54" s="24"/>
      <c r="S54" s="51">
        <f t="shared" si="30"/>
        <v>46202</v>
      </c>
      <c r="T54" s="52">
        <f t="shared" si="596"/>
        <v>46203</v>
      </c>
      <c r="U54" s="52">
        <f t="shared" si="596"/>
        <v>46204</v>
      </c>
      <c r="V54" s="52">
        <f t="shared" si="596"/>
        <v>46205</v>
      </c>
      <c r="W54" s="53">
        <f t="shared" si="596"/>
        <v>46206</v>
      </c>
      <c r="X54" s="51">
        <v>46209</v>
      </c>
      <c r="Y54" s="52">
        <v>46210</v>
      </c>
      <c r="Z54" s="52">
        <v>46211</v>
      </c>
      <c r="AA54" s="52">
        <v>46212</v>
      </c>
      <c r="AB54" s="53">
        <v>46213</v>
      </c>
      <c r="AC54" s="51">
        <v>46216</v>
      </c>
      <c r="AD54" s="52">
        <v>46217</v>
      </c>
      <c r="AE54" s="52">
        <v>46218</v>
      </c>
      <c r="AF54" s="52">
        <v>46219</v>
      </c>
      <c r="AG54" s="53">
        <v>46220</v>
      </c>
      <c r="AH54" s="51">
        <v>46223</v>
      </c>
      <c r="AI54" s="52">
        <v>46224</v>
      </c>
      <c r="AJ54" s="52">
        <v>46225</v>
      </c>
      <c r="AK54" s="52">
        <v>46226</v>
      </c>
      <c r="AL54" s="53">
        <v>46227</v>
      </c>
      <c r="AM54" s="51">
        <v>46230</v>
      </c>
      <c r="AN54" s="52">
        <v>46231</v>
      </c>
      <c r="AO54" s="52">
        <v>46232</v>
      </c>
      <c r="AP54" s="52">
        <v>46233</v>
      </c>
      <c r="AQ54" s="53">
        <v>46234</v>
      </c>
      <c r="AR54" s="51">
        <v>46237</v>
      </c>
      <c r="AS54" s="52">
        <v>46238</v>
      </c>
      <c r="AT54" s="52">
        <v>46239</v>
      </c>
      <c r="AU54" s="52">
        <v>46240</v>
      </c>
      <c r="AV54" s="53">
        <v>46241</v>
      </c>
      <c r="AW54" s="51">
        <v>46244</v>
      </c>
      <c r="AX54" s="52">
        <v>46245</v>
      </c>
      <c r="AY54" s="52">
        <v>46246</v>
      </c>
      <c r="AZ54" s="52">
        <v>46247</v>
      </c>
      <c r="BA54" s="53">
        <v>46248</v>
      </c>
      <c r="BB54" s="51">
        <v>46251</v>
      </c>
      <c r="BC54" s="52">
        <v>46252</v>
      </c>
      <c r="BD54" s="52">
        <v>46253</v>
      </c>
      <c r="BE54" s="52">
        <v>46254</v>
      </c>
      <c r="BF54" s="53">
        <v>46255</v>
      </c>
      <c r="BG54" s="51">
        <v>46258</v>
      </c>
      <c r="BH54" s="52">
        <v>46259</v>
      </c>
      <c r="BI54" s="52">
        <v>46260</v>
      </c>
      <c r="BJ54" s="52">
        <v>46261</v>
      </c>
      <c r="BK54" s="53">
        <v>46262</v>
      </c>
      <c r="BL54" s="51">
        <v>46265</v>
      </c>
      <c r="BM54" s="52">
        <v>46266</v>
      </c>
      <c r="BN54" s="52">
        <v>46267</v>
      </c>
      <c r="BO54" s="52">
        <v>46268</v>
      </c>
      <c r="BP54" s="53">
        <v>46269</v>
      </c>
      <c r="BQ54" s="51">
        <v>46272</v>
      </c>
      <c r="BR54" s="52">
        <v>46273</v>
      </c>
      <c r="BS54" s="52">
        <v>46274</v>
      </c>
      <c r="BT54" s="52">
        <v>46275</v>
      </c>
      <c r="BU54" s="53">
        <v>46276</v>
      </c>
      <c r="BV54" s="51">
        <v>46279</v>
      </c>
      <c r="BW54" s="52">
        <v>46280</v>
      </c>
      <c r="BX54" s="52">
        <v>46281</v>
      </c>
      <c r="BY54" s="52">
        <v>46282</v>
      </c>
      <c r="BZ54" s="53">
        <v>46283</v>
      </c>
      <c r="CA54" s="51">
        <v>46286</v>
      </c>
      <c r="CB54" s="52">
        <v>46287</v>
      </c>
      <c r="CC54" s="52">
        <v>46288</v>
      </c>
      <c r="CD54" s="52">
        <v>46289</v>
      </c>
      <c r="CE54" s="53">
        <v>46290</v>
      </c>
      <c r="CF54" s="51">
        <v>46293</v>
      </c>
      <c r="CG54" s="52">
        <v>46294</v>
      </c>
      <c r="CH54" s="52">
        <v>46295</v>
      </c>
      <c r="CI54" s="52">
        <v>46296</v>
      </c>
      <c r="CJ54" s="53">
        <v>46297</v>
      </c>
      <c r="CK54" s="51">
        <f t="shared" si="32"/>
        <v>46300</v>
      </c>
      <c r="CL54" s="52">
        <f t="shared" si="597"/>
        <v>46301</v>
      </c>
      <c r="CM54" s="52">
        <f t="shared" si="597"/>
        <v>46302</v>
      </c>
      <c r="CN54" s="52">
        <f t="shared" si="597"/>
        <v>46303</v>
      </c>
      <c r="CO54" s="53">
        <f t="shared" si="597"/>
        <v>46304</v>
      </c>
      <c r="CP54" s="51">
        <f t="shared" si="61"/>
        <v>46307</v>
      </c>
      <c r="CQ54" s="52">
        <f t="shared" si="598"/>
        <v>46308</v>
      </c>
      <c r="CR54" s="52">
        <f t="shared" si="598"/>
        <v>46309</v>
      </c>
      <c r="CS54" s="52">
        <f t="shared" si="598"/>
        <v>46310</v>
      </c>
      <c r="CT54" s="53">
        <f t="shared" si="598"/>
        <v>46311</v>
      </c>
      <c r="CU54" s="51">
        <f t="shared" si="35"/>
        <v>46314</v>
      </c>
      <c r="CV54" s="52">
        <f t="shared" si="599"/>
        <v>46315</v>
      </c>
      <c r="CW54" s="52">
        <f t="shared" si="599"/>
        <v>46316</v>
      </c>
      <c r="CX54" s="52">
        <f t="shared" si="599"/>
        <v>46317</v>
      </c>
      <c r="CY54" s="53">
        <f t="shared" si="599"/>
        <v>46318</v>
      </c>
      <c r="CZ54" s="51">
        <f t="shared" si="37"/>
        <v>46321</v>
      </c>
      <c r="DA54" s="52">
        <f t="shared" si="600"/>
        <v>46322</v>
      </c>
      <c r="DB54" s="52">
        <f t="shared" si="600"/>
        <v>46323</v>
      </c>
      <c r="DC54" s="52">
        <f t="shared" si="600"/>
        <v>46324</v>
      </c>
      <c r="DD54" s="53">
        <f t="shared" si="600"/>
        <v>46325</v>
      </c>
      <c r="DE54" s="51">
        <f t="shared" si="39"/>
        <v>46328</v>
      </c>
      <c r="DF54" s="52">
        <f t="shared" si="601"/>
        <v>46329</v>
      </c>
      <c r="DG54" s="52">
        <f t="shared" si="601"/>
        <v>46330</v>
      </c>
      <c r="DH54" s="52">
        <f t="shared" si="601"/>
        <v>46331</v>
      </c>
      <c r="DI54" s="53">
        <f t="shared" si="601"/>
        <v>46332</v>
      </c>
      <c r="DJ54" s="51">
        <f t="shared" si="41"/>
        <v>46335</v>
      </c>
      <c r="DK54" s="52">
        <f t="shared" si="602"/>
        <v>46336</v>
      </c>
      <c r="DL54" s="52">
        <f t="shared" si="602"/>
        <v>46337</v>
      </c>
      <c r="DM54" s="52">
        <f t="shared" si="602"/>
        <v>46338</v>
      </c>
      <c r="DN54" s="53">
        <f t="shared" si="602"/>
        <v>46339</v>
      </c>
      <c r="DO54" s="51">
        <f t="shared" si="43"/>
        <v>46342</v>
      </c>
      <c r="DP54" s="52">
        <f t="shared" si="603"/>
        <v>46343</v>
      </c>
      <c r="DQ54" s="52">
        <f t="shared" si="603"/>
        <v>46344</v>
      </c>
      <c r="DR54" s="52">
        <f t="shared" si="603"/>
        <v>46345</v>
      </c>
      <c r="DS54" s="53">
        <f t="shared" si="603"/>
        <v>46346</v>
      </c>
      <c r="DT54" s="51">
        <f t="shared" si="45"/>
        <v>46349</v>
      </c>
      <c r="DU54" s="52">
        <f t="shared" si="604"/>
        <v>46350</v>
      </c>
      <c r="DV54" s="52">
        <f t="shared" si="604"/>
        <v>46351</v>
      </c>
      <c r="DW54" s="52">
        <f t="shared" si="604"/>
        <v>46352</v>
      </c>
      <c r="DX54" s="53">
        <f t="shared" si="604"/>
        <v>46353</v>
      </c>
      <c r="DY54" s="51">
        <f t="shared" si="47"/>
        <v>46356</v>
      </c>
      <c r="DZ54" s="52">
        <f t="shared" si="605"/>
        <v>46357</v>
      </c>
      <c r="EA54" s="52">
        <f t="shared" si="605"/>
        <v>46358</v>
      </c>
      <c r="EB54" s="52">
        <f t="shared" si="605"/>
        <v>46359</v>
      </c>
      <c r="EC54" s="53">
        <f t="shared" si="605"/>
        <v>46360</v>
      </c>
      <c r="ED54" s="51">
        <f t="shared" si="49"/>
        <v>46363</v>
      </c>
      <c r="EE54" s="52">
        <f t="shared" si="606"/>
        <v>46364</v>
      </c>
      <c r="EF54" s="52">
        <f t="shared" si="606"/>
        <v>46365</v>
      </c>
      <c r="EG54" s="52">
        <f t="shared" si="606"/>
        <v>46366</v>
      </c>
      <c r="EH54" s="53">
        <f t="shared" si="606"/>
        <v>46367</v>
      </c>
      <c r="EI54" s="51">
        <f t="shared" si="51"/>
        <v>46370</v>
      </c>
      <c r="EJ54" s="52">
        <f t="shared" si="607"/>
        <v>46371</v>
      </c>
      <c r="EK54" s="52">
        <f t="shared" si="607"/>
        <v>46372</v>
      </c>
      <c r="EL54" s="52">
        <f t="shared" si="607"/>
        <v>46373</v>
      </c>
      <c r="EM54" s="53">
        <f t="shared" si="607"/>
        <v>46374</v>
      </c>
      <c r="EN54" s="51">
        <f t="shared" si="53"/>
        <v>46377</v>
      </c>
      <c r="EO54" s="52">
        <f t="shared" si="608"/>
        <v>46378</v>
      </c>
      <c r="EP54" s="52">
        <f t="shared" si="608"/>
        <v>46379</v>
      </c>
      <c r="EQ54" s="52">
        <f t="shared" si="608"/>
        <v>46380</v>
      </c>
      <c r="ER54" s="53">
        <f t="shared" si="608"/>
        <v>46381</v>
      </c>
      <c r="ES54" s="51">
        <f t="shared" si="55"/>
        <v>46384</v>
      </c>
      <c r="ET54" s="52">
        <f t="shared" si="609"/>
        <v>46385</v>
      </c>
      <c r="EU54" s="52">
        <f t="shared" si="609"/>
        <v>46386</v>
      </c>
      <c r="EV54" s="52">
        <f t="shared" si="609"/>
        <v>46387</v>
      </c>
      <c r="EW54" s="53">
        <f t="shared" si="609"/>
        <v>46388</v>
      </c>
      <c r="EX54" s="51">
        <f t="shared" si="57"/>
        <v>46391</v>
      </c>
      <c r="EY54" s="52">
        <f t="shared" ref="EY54:EY57" si="611">EX53+1</f>
        <v>46392</v>
      </c>
      <c r="EZ54" s="52" t="e">
        <f t="shared" ref="EZ54:EZ57" si="612">EY53+1</f>
        <v>#REF!</v>
      </c>
      <c r="FA54" s="52" t="e">
        <f t="shared" ref="FA54:FA57" si="613">EZ53+1</f>
        <v>#REF!</v>
      </c>
      <c r="FB54" s="53" t="e">
        <f t="shared" ref="FB54:FB57" si="614">FA53+1</f>
        <v>#REF!</v>
      </c>
    </row>
    <row r="55" spans="1:158" ht="18" customHeight="1" outlineLevel="2">
      <c r="A55" s="26"/>
      <c r="B55" s="34"/>
      <c r="C55" s="34"/>
      <c r="D55" s="41" t="s">
        <v>108</v>
      </c>
      <c r="E55" s="42"/>
      <c r="F55" s="43"/>
      <c r="G55" s="60"/>
      <c r="H55" s="71" t="s">
        <v>18</v>
      </c>
      <c r="I55" s="71" t="s">
        <v>18</v>
      </c>
      <c r="J55" s="72" t="s">
        <v>18</v>
      </c>
      <c r="K55" s="73"/>
      <c r="L55" s="74"/>
      <c r="M55" s="46">
        <v>46307</v>
      </c>
      <c r="N55" s="47">
        <v>46311</v>
      </c>
      <c r="O55" s="48">
        <f>5/132/3</f>
        <v>1.2626262626262626E-2</v>
      </c>
      <c r="P55" s="48"/>
      <c r="Q55" s="49"/>
      <c r="R55" s="48"/>
      <c r="S55" s="51">
        <f t="shared" si="30"/>
        <v>46202</v>
      </c>
      <c r="T55" s="52">
        <f t="shared" si="596"/>
        <v>46203</v>
      </c>
      <c r="U55" s="52">
        <f t="shared" si="596"/>
        <v>46204</v>
      </c>
      <c r="V55" s="52">
        <f t="shared" si="596"/>
        <v>46205</v>
      </c>
      <c r="W55" s="53">
        <f t="shared" si="596"/>
        <v>46206</v>
      </c>
      <c r="X55" s="51">
        <v>46209</v>
      </c>
      <c r="Y55" s="52">
        <v>46210</v>
      </c>
      <c r="Z55" s="52">
        <v>46211</v>
      </c>
      <c r="AA55" s="52">
        <v>46212</v>
      </c>
      <c r="AB55" s="53">
        <v>46213</v>
      </c>
      <c r="AC55" s="51">
        <v>46216</v>
      </c>
      <c r="AD55" s="52">
        <v>46217</v>
      </c>
      <c r="AE55" s="52">
        <v>46218</v>
      </c>
      <c r="AF55" s="52">
        <v>46219</v>
      </c>
      <c r="AG55" s="53">
        <v>46220</v>
      </c>
      <c r="AH55" s="51">
        <v>46223</v>
      </c>
      <c r="AI55" s="52">
        <v>46224</v>
      </c>
      <c r="AJ55" s="52">
        <v>46225</v>
      </c>
      <c r="AK55" s="52">
        <v>46226</v>
      </c>
      <c r="AL55" s="53">
        <v>46227</v>
      </c>
      <c r="AM55" s="51">
        <v>46230</v>
      </c>
      <c r="AN55" s="52">
        <v>46231</v>
      </c>
      <c r="AO55" s="52">
        <v>46232</v>
      </c>
      <c r="AP55" s="52">
        <v>46233</v>
      </c>
      <c r="AQ55" s="53">
        <v>46234</v>
      </c>
      <c r="AR55" s="51">
        <v>46237</v>
      </c>
      <c r="AS55" s="52">
        <v>46238</v>
      </c>
      <c r="AT55" s="52">
        <v>46239</v>
      </c>
      <c r="AU55" s="52">
        <v>46240</v>
      </c>
      <c r="AV55" s="53">
        <v>46241</v>
      </c>
      <c r="AW55" s="51">
        <v>46244</v>
      </c>
      <c r="AX55" s="52">
        <v>46245</v>
      </c>
      <c r="AY55" s="52">
        <v>46246</v>
      </c>
      <c r="AZ55" s="52">
        <v>46247</v>
      </c>
      <c r="BA55" s="53">
        <v>46248</v>
      </c>
      <c r="BB55" s="51">
        <v>46251</v>
      </c>
      <c r="BC55" s="52">
        <v>46252</v>
      </c>
      <c r="BD55" s="52">
        <v>46253</v>
      </c>
      <c r="BE55" s="52">
        <v>46254</v>
      </c>
      <c r="BF55" s="53">
        <v>46255</v>
      </c>
      <c r="BG55" s="51">
        <v>46258</v>
      </c>
      <c r="BH55" s="52">
        <v>46259</v>
      </c>
      <c r="BI55" s="52">
        <v>46260</v>
      </c>
      <c r="BJ55" s="52">
        <v>46261</v>
      </c>
      <c r="BK55" s="53">
        <v>46262</v>
      </c>
      <c r="BL55" s="51">
        <v>46265</v>
      </c>
      <c r="BM55" s="52">
        <v>46266</v>
      </c>
      <c r="BN55" s="52">
        <v>46267</v>
      </c>
      <c r="BO55" s="52">
        <v>46268</v>
      </c>
      <c r="BP55" s="53">
        <v>46269</v>
      </c>
      <c r="BQ55" s="51">
        <v>46272</v>
      </c>
      <c r="BR55" s="52">
        <v>46273</v>
      </c>
      <c r="BS55" s="52">
        <v>46274</v>
      </c>
      <c r="BT55" s="52">
        <v>46275</v>
      </c>
      <c r="BU55" s="53">
        <v>46276</v>
      </c>
      <c r="BV55" s="51">
        <v>46279</v>
      </c>
      <c r="BW55" s="52">
        <v>46280</v>
      </c>
      <c r="BX55" s="52">
        <v>46281</v>
      </c>
      <c r="BY55" s="52">
        <v>46282</v>
      </c>
      <c r="BZ55" s="53">
        <v>46283</v>
      </c>
      <c r="CA55" s="51">
        <v>46286</v>
      </c>
      <c r="CB55" s="52">
        <v>46287</v>
      </c>
      <c r="CC55" s="52">
        <v>46288</v>
      </c>
      <c r="CD55" s="52">
        <v>46289</v>
      </c>
      <c r="CE55" s="53">
        <v>46290</v>
      </c>
      <c r="CF55" s="51">
        <v>46293</v>
      </c>
      <c r="CG55" s="52">
        <v>46294</v>
      </c>
      <c r="CH55" s="52">
        <v>46295</v>
      </c>
      <c r="CI55" s="52">
        <v>46296</v>
      </c>
      <c r="CJ55" s="53">
        <v>46297</v>
      </c>
      <c r="CK55" s="51">
        <f t="shared" si="32"/>
        <v>46300</v>
      </c>
      <c r="CL55" s="52">
        <f t="shared" si="597"/>
        <v>46301</v>
      </c>
      <c r="CM55" s="52">
        <f t="shared" si="597"/>
        <v>46302</v>
      </c>
      <c r="CN55" s="52">
        <f t="shared" si="597"/>
        <v>46303</v>
      </c>
      <c r="CO55" s="53">
        <f t="shared" si="597"/>
        <v>46304</v>
      </c>
      <c r="CP55" s="51">
        <f t="shared" si="61"/>
        <v>46307</v>
      </c>
      <c r="CQ55" s="52">
        <f t="shared" si="598"/>
        <v>46308</v>
      </c>
      <c r="CR55" s="52">
        <f t="shared" si="598"/>
        <v>46309</v>
      </c>
      <c r="CS55" s="52">
        <f t="shared" si="598"/>
        <v>46310</v>
      </c>
      <c r="CT55" s="53">
        <f t="shared" si="598"/>
        <v>46311</v>
      </c>
      <c r="CU55" s="51">
        <f t="shared" si="35"/>
        <v>46314</v>
      </c>
      <c r="CV55" s="52">
        <f t="shared" si="599"/>
        <v>46315</v>
      </c>
      <c r="CW55" s="52">
        <f t="shared" si="599"/>
        <v>46316</v>
      </c>
      <c r="CX55" s="52">
        <f t="shared" si="599"/>
        <v>46317</v>
      </c>
      <c r="CY55" s="53">
        <f t="shared" si="599"/>
        <v>46318</v>
      </c>
      <c r="CZ55" s="51">
        <f t="shared" si="37"/>
        <v>46321</v>
      </c>
      <c r="DA55" s="52">
        <f t="shared" si="600"/>
        <v>46322</v>
      </c>
      <c r="DB55" s="52">
        <f t="shared" si="600"/>
        <v>46323</v>
      </c>
      <c r="DC55" s="52">
        <f t="shared" si="600"/>
        <v>46324</v>
      </c>
      <c r="DD55" s="53">
        <f t="shared" si="600"/>
        <v>46325</v>
      </c>
      <c r="DE55" s="51">
        <f t="shared" si="39"/>
        <v>46328</v>
      </c>
      <c r="DF55" s="52">
        <f t="shared" si="601"/>
        <v>46329</v>
      </c>
      <c r="DG55" s="52">
        <f t="shared" si="601"/>
        <v>46330</v>
      </c>
      <c r="DH55" s="52">
        <f t="shared" si="601"/>
        <v>46331</v>
      </c>
      <c r="DI55" s="53">
        <f t="shared" si="601"/>
        <v>46332</v>
      </c>
      <c r="DJ55" s="51">
        <f t="shared" si="41"/>
        <v>46335</v>
      </c>
      <c r="DK55" s="52">
        <f t="shared" si="602"/>
        <v>46336</v>
      </c>
      <c r="DL55" s="52">
        <f t="shared" si="602"/>
        <v>46337</v>
      </c>
      <c r="DM55" s="52">
        <f t="shared" si="602"/>
        <v>46338</v>
      </c>
      <c r="DN55" s="53">
        <f t="shared" si="602"/>
        <v>46339</v>
      </c>
      <c r="DO55" s="51">
        <f t="shared" si="43"/>
        <v>46342</v>
      </c>
      <c r="DP55" s="52">
        <f t="shared" si="603"/>
        <v>46343</v>
      </c>
      <c r="DQ55" s="52">
        <f t="shared" si="603"/>
        <v>46344</v>
      </c>
      <c r="DR55" s="52">
        <f t="shared" si="603"/>
        <v>46345</v>
      </c>
      <c r="DS55" s="53">
        <f t="shared" si="603"/>
        <v>46346</v>
      </c>
      <c r="DT55" s="51">
        <f t="shared" si="45"/>
        <v>46349</v>
      </c>
      <c r="DU55" s="52">
        <f t="shared" si="604"/>
        <v>46350</v>
      </c>
      <c r="DV55" s="52">
        <f t="shared" si="604"/>
        <v>46351</v>
      </c>
      <c r="DW55" s="52">
        <f t="shared" si="604"/>
        <v>46352</v>
      </c>
      <c r="DX55" s="53">
        <f t="shared" si="604"/>
        <v>46353</v>
      </c>
      <c r="DY55" s="51">
        <f t="shared" si="47"/>
        <v>46356</v>
      </c>
      <c r="DZ55" s="52">
        <f t="shared" si="605"/>
        <v>46357</v>
      </c>
      <c r="EA55" s="52">
        <f t="shared" si="605"/>
        <v>46358</v>
      </c>
      <c r="EB55" s="52">
        <f t="shared" si="605"/>
        <v>46359</v>
      </c>
      <c r="EC55" s="53">
        <f t="shared" si="605"/>
        <v>46360</v>
      </c>
      <c r="ED55" s="51">
        <f t="shared" si="49"/>
        <v>46363</v>
      </c>
      <c r="EE55" s="52">
        <f t="shared" si="606"/>
        <v>46364</v>
      </c>
      <c r="EF55" s="52">
        <f t="shared" si="606"/>
        <v>46365</v>
      </c>
      <c r="EG55" s="52">
        <f t="shared" si="606"/>
        <v>46366</v>
      </c>
      <c r="EH55" s="53">
        <f t="shared" si="606"/>
        <v>46367</v>
      </c>
      <c r="EI55" s="51">
        <f t="shared" si="51"/>
        <v>46370</v>
      </c>
      <c r="EJ55" s="52">
        <f t="shared" si="607"/>
        <v>46371</v>
      </c>
      <c r="EK55" s="52">
        <f t="shared" si="607"/>
        <v>46372</v>
      </c>
      <c r="EL55" s="52">
        <f t="shared" si="607"/>
        <v>46373</v>
      </c>
      <c r="EM55" s="53">
        <f t="shared" si="607"/>
        <v>46374</v>
      </c>
      <c r="EN55" s="51">
        <f t="shared" si="53"/>
        <v>46377</v>
      </c>
      <c r="EO55" s="52">
        <f t="shared" si="608"/>
        <v>46378</v>
      </c>
      <c r="EP55" s="52">
        <f t="shared" si="608"/>
        <v>46379</v>
      </c>
      <c r="EQ55" s="52">
        <f t="shared" si="608"/>
        <v>46380</v>
      </c>
      <c r="ER55" s="53">
        <f t="shared" si="608"/>
        <v>46381</v>
      </c>
      <c r="ES55" s="51">
        <f t="shared" si="55"/>
        <v>46384</v>
      </c>
      <c r="ET55" s="52">
        <f t="shared" si="609"/>
        <v>46385</v>
      </c>
      <c r="EU55" s="52">
        <f t="shared" si="609"/>
        <v>46386</v>
      </c>
      <c r="EV55" s="52">
        <f t="shared" si="609"/>
        <v>46387</v>
      </c>
      <c r="EW55" s="53">
        <f t="shared" si="609"/>
        <v>46388</v>
      </c>
      <c r="EX55" s="51">
        <f t="shared" si="57"/>
        <v>46391</v>
      </c>
      <c r="EY55" s="52">
        <f t="shared" si="611"/>
        <v>46392</v>
      </c>
      <c r="EZ55" s="52">
        <f t="shared" si="612"/>
        <v>46393</v>
      </c>
      <c r="FA55" s="52" t="e">
        <f t="shared" si="613"/>
        <v>#REF!</v>
      </c>
      <c r="FB55" s="53" t="e">
        <f t="shared" si="614"/>
        <v>#REF!</v>
      </c>
    </row>
    <row r="56" spans="1:158" ht="18" customHeight="1" outlineLevel="2">
      <c r="A56" s="26"/>
      <c r="B56" s="34"/>
      <c r="C56" s="34"/>
      <c r="D56" s="2" t="s">
        <v>109</v>
      </c>
      <c r="E56" s="42"/>
      <c r="F56" s="43"/>
      <c r="G56" s="60"/>
      <c r="H56" s="71" t="s">
        <v>18</v>
      </c>
      <c r="I56" s="71" t="s">
        <v>18</v>
      </c>
      <c r="J56" s="72" t="s">
        <v>18</v>
      </c>
      <c r="K56" s="73"/>
      <c r="L56" s="74"/>
      <c r="M56" s="46">
        <v>46314</v>
      </c>
      <c r="N56" s="47">
        <v>46318</v>
      </c>
      <c r="O56" s="14">
        <f>5/132/3</f>
        <v>1.2626262626262626E-2</v>
      </c>
      <c r="P56" s="14"/>
      <c r="Q56" s="15"/>
      <c r="R56" s="14"/>
      <c r="S56" s="51">
        <f t="shared" si="30"/>
        <v>46202</v>
      </c>
      <c r="T56" s="52">
        <f t="shared" si="596"/>
        <v>46203</v>
      </c>
      <c r="U56" s="52">
        <f t="shared" si="596"/>
        <v>46204</v>
      </c>
      <c r="V56" s="52">
        <f t="shared" si="596"/>
        <v>46205</v>
      </c>
      <c r="W56" s="53">
        <f t="shared" si="596"/>
        <v>46206</v>
      </c>
      <c r="X56" s="51">
        <v>46209</v>
      </c>
      <c r="Y56" s="52">
        <v>46210</v>
      </c>
      <c r="Z56" s="52">
        <v>46211</v>
      </c>
      <c r="AA56" s="52">
        <v>46212</v>
      </c>
      <c r="AB56" s="53">
        <v>46213</v>
      </c>
      <c r="AC56" s="51">
        <v>46216</v>
      </c>
      <c r="AD56" s="52">
        <v>46217</v>
      </c>
      <c r="AE56" s="52">
        <v>46218</v>
      </c>
      <c r="AF56" s="52">
        <v>46219</v>
      </c>
      <c r="AG56" s="53">
        <v>46220</v>
      </c>
      <c r="AH56" s="51">
        <v>46223</v>
      </c>
      <c r="AI56" s="52">
        <v>46224</v>
      </c>
      <c r="AJ56" s="52">
        <v>46225</v>
      </c>
      <c r="AK56" s="52">
        <v>46226</v>
      </c>
      <c r="AL56" s="53">
        <v>46227</v>
      </c>
      <c r="AM56" s="51">
        <v>46230</v>
      </c>
      <c r="AN56" s="52">
        <v>46231</v>
      </c>
      <c r="AO56" s="52">
        <v>46232</v>
      </c>
      <c r="AP56" s="52">
        <v>46233</v>
      </c>
      <c r="AQ56" s="53">
        <v>46234</v>
      </c>
      <c r="AR56" s="51">
        <v>46237</v>
      </c>
      <c r="AS56" s="52">
        <v>46238</v>
      </c>
      <c r="AT56" s="52">
        <v>46239</v>
      </c>
      <c r="AU56" s="52">
        <v>46240</v>
      </c>
      <c r="AV56" s="53">
        <v>46241</v>
      </c>
      <c r="AW56" s="51">
        <v>46244</v>
      </c>
      <c r="AX56" s="52">
        <v>46245</v>
      </c>
      <c r="AY56" s="52">
        <v>46246</v>
      </c>
      <c r="AZ56" s="52">
        <v>46247</v>
      </c>
      <c r="BA56" s="53">
        <v>46248</v>
      </c>
      <c r="BB56" s="51">
        <v>46251</v>
      </c>
      <c r="BC56" s="52">
        <v>46252</v>
      </c>
      <c r="BD56" s="52">
        <v>46253</v>
      </c>
      <c r="BE56" s="52">
        <v>46254</v>
      </c>
      <c r="BF56" s="53">
        <v>46255</v>
      </c>
      <c r="BG56" s="51">
        <v>46258</v>
      </c>
      <c r="BH56" s="52">
        <v>46259</v>
      </c>
      <c r="BI56" s="52">
        <v>46260</v>
      </c>
      <c r="BJ56" s="52">
        <v>46261</v>
      </c>
      <c r="BK56" s="53">
        <v>46262</v>
      </c>
      <c r="BL56" s="51">
        <v>46265</v>
      </c>
      <c r="BM56" s="52">
        <v>46266</v>
      </c>
      <c r="BN56" s="52">
        <v>46267</v>
      </c>
      <c r="BO56" s="52">
        <v>46268</v>
      </c>
      <c r="BP56" s="53">
        <v>46269</v>
      </c>
      <c r="BQ56" s="51">
        <v>46272</v>
      </c>
      <c r="BR56" s="52">
        <v>46273</v>
      </c>
      <c r="BS56" s="52">
        <v>46274</v>
      </c>
      <c r="BT56" s="52">
        <v>46275</v>
      </c>
      <c r="BU56" s="53">
        <v>46276</v>
      </c>
      <c r="BV56" s="51">
        <v>46279</v>
      </c>
      <c r="BW56" s="52">
        <v>46280</v>
      </c>
      <c r="BX56" s="52">
        <v>46281</v>
      </c>
      <c r="BY56" s="52">
        <v>46282</v>
      </c>
      <c r="BZ56" s="53">
        <v>46283</v>
      </c>
      <c r="CA56" s="51">
        <v>46286</v>
      </c>
      <c r="CB56" s="52">
        <v>46287</v>
      </c>
      <c r="CC56" s="52">
        <v>46288</v>
      </c>
      <c r="CD56" s="52">
        <v>46289</v>
      </c>
      <c r="CE56" s="53">
        <v>46290</v>
      </c>
      <c r="CF56" s="51">
        <v>46293</v>
      </c>
      <c r="CG56" s="52">
        <v>46294</v>
      </c>
      <c r="CH56" s="52">
        <v>46295</v>
      </c>
      <c r="CI56" s="52">
        <v>46296</v>
      </c>
      <c r="CJ56" s="53">
        <v>46297</v>
      </c>
      <c r="CK56" s="51">
        <f t="shared" si="32"/>
        <v>46300</v>
      </c>
      <c r="CL56" s="52">
        <f t="shared" si="597"/>
        <v>46301</v>
      </c>
      <c r="CM56" s="52">
        <f t="shared" si="597"/>
        <v>46302</v>
      </c>
      <c r="CN56" s="52">
        <f t="shared" si="597"/>
        <v>46303</v>
      </c>
      <c r="CO56" s="53">
        <f t="shared" si="597"/>
        <v>46304</v>
      </c>
      <c r="CP56" s="51">
        <f t="shared" si="61"/>
        <v>46307</v>
      </c>
      <c r="CQ56" s="52">
        <f t="shared" si="598"/>
        <v>46308</v>
      </c>
      <c r="CR56" s="52">
        <f t="shared" si="598"/>
        <v>46309</v>
      </c>
      <c r="CS56" s="52">
        <f t="shared" si="598"/>
        <v>46310</v>
      </c>
      <c r="CT56" s="53">
        <f t="shared" si="598"/>
        <v>46311</v>
      </c>
      <c r="CU56" s="51">
        <f t="shared" si="35"/>
        <v>46314</v>
      </c>
      <c r="CV56" s="52">
        <f t="shared" si="599"/>
        <v>46315</v>
      </c>
      <c r="CW56" s="52">
        <f t="shared" si="599"/>
        <v>46316</v>
      </c>
      <c r="CX56" s="52">
        <f t="shared" si="599"/>
        <v>46317</v>
      </c>
      <c r="CY56" s="53">
        <f t="shared" si="599"/>
        <v>46318</v>
      </c>
      <c r="CZ56" s="51">
        <f t="shared" si="37"/>
        <v>46321</v>
      </c>
      <c r="DA56" s="52">
        <f t="shared" si="600"/>
        <v>46322</v>
      </c>
      <c r="DB56" s="52">
        <f t="shared" si="600"/>
        <v>46323</v>
      </c>
      <c r="DC56" s="52">
        <f t="shared" si="600"/>
        <v>46324</v>
      </c>
      <c r="DD56" s="53">
        <f t="shared" si="600"/>
        <v>46325</v>
      </c>
      <c r="DE56" s="51">
        <f t="shared" si="39"/>
        <v>46328</v>
      </c>
      <c r="DF56" s="52">
        <f t="shared" si="601"/>
        <v>46329</v>
      </c>
      <c r="DG56" s="52">
        <f t="shared" si="601"/>
        <v>46330</v>
      </c>
      <c r="DH56" s="52">
        <f t="shared" si="601"/>
        <v>46331</v>
      </c>
      <c r="DI56" s="53">
        <f t="shared" si="601"/>
        <v>46332</v>
      </c>
      <c r="DJ56" s="51">
        <f t="shared" si="41"/>
        <v>46335</v>
      </c>
      <c r="DK56" s="52">
        <f t="shared" si="602"/>
        <v>46336</v>
      </c>
      <c r="DL56" s="52">
        <f t="shared" si="602"/>
        <v>46337</v>
      </c>
      <c r="DM56" s="52">
        <f t="shared" si="602"/>
        <v>46338</v>
      </c>
      <c r="DN56" s="53">
        <f t="shared" si="602"/>
        <v>46339</v>
      </c>
      <c r="DO56" s="51">
        <f t="shared" si="43"/>
        <v>46342</v>
      </c>
      <c r="DP56" s="52">
        <f t="shared" si="603"/>
        <v>46343</v>
      </c>
      <c r="DQ56" s="52">
        <f t="shared" si="603"/>
        <v>46344</v>
      </c>
      <c r="DR56" s="52">
        <f t="shared" si="603"/>
        <v>46345</v>
      </c>
      <c r="DS56" s="53">
        <f t="shared" si="603"/>
        <v>46346</v>
      </c>
      <c r="DT56" s="51">
        <f t="shared" si="45"/>
        <v>46349</v>
      </c>
      <c r="DU56" s="52">
        <f t="shared" si="604"/>
        <v>46350</v>
      </c>
      <c r="DV56" s="52">
        <f t="shared" si="604"/>
        <v>46351</v>
      </c>
      <c r="DW56" s="52">
        <f t="shared" si="604"/>
        <v>46352</v>
      </c>
      <c r="DX56" s="53">
        <f t="shared" si="604"/>
        <v>46353</v>
      </c>
      <c r="DY56" s="51">
        <f t="shared" si="47"/>
        <v>46356</v>
      </c>
      <c r="DZ56" s="52">
        <f t="shared" si="605"/>
        <v>46357</v>
      </c>
      <c r="EA56" s="52">
        <f t="shared" si="605"/>
        <v>46358</v>
      </c>
      <c r="EB56" s="52">
        <f t="shared" si="605"/>
        <v>46359</v>
      </c>
      <c r="EC56" s="53">
        <f t="shared" si="605"/>
        <v>46360</v>
      </c>
      <c r="ED56" s="51">
        <f t="shared" si="49"/>
        <v>46363</v>
      </c>
      <c r="EE56" s="52">
        <f t="shared" si="606"/>
        <v>46364</v>
      </c>
      <c r="EF56" s="52">
        <f t="shared" si="606"/>
        <v>46365</v>
      </c>
      <c r="EG56" s="52">
        <f t="shared" si="606"/>
        <v>46366</v>
      </c>
      <c r="EH56" s="53">
        <f t="shared" si="606"/>
        <v>46367</v>
      </c>
      <c r="EI56" s="51">
        <f t="shared" si="51"/>
        <v>46370</v>
      </c>
      <c r="EJ56" s="52">
        <f t="shared" si="607"/>
        <v>46371</v>
      </c>
      <c r="EK56" s="52">
        <f t="shared" si="607"/>
        <v>46372</v>
      </c>
      <c r="EL56" s="52">
        <f t="shared" si="607"/>
        <v>46373</v>
      </c>
      <c r="EM56" s="53">
        <f t="shared" si="607"/>
        <v>46374</v>
      </c>
      <c r="EN56" s="51">
        <f t="shared" si="53"/>
        <v>46377</v>
      </c>
      <c r="EO56" s="52">
        <f t="shared" si="608"/>
        <v>46378</v>
      </c>
      <c r="EP56" s="52">
        <f t="shared" si="608"/>
        <v>46379</v>
      </c>
      <c r="EQ56" s="52">
        <f t="shared" si="608"/>
        <v>46380</v>
      </c>
      <c r="ER56" s="53">
        <f t="shared" si="608"/>
        <v>46381</v>
      </c>
      <c r="ES56" s="51">
        <f t="shared" si="55"/>
        <v>46384</v>
      </c>
      <c r="ET56" s="52">
        <f t="shared" si="609"/>
        <v>46385</v>
      </c>
      <c r="EU56" s="52">
        <f t="shared" si="609"/>
        <v>46386</v>
      </c>
      <c r="EV56" s="52">
        <f t="shared" si="609"/>
        <v>46387</v>
      </c>
      <c r="EW56" s="53">
        <f t="shared" si="609"/>
        <v>46388</v>
      </c>
      <c r="EX56" s="51">
        <f t="shared" si="57"/>
        <v>46391</v>
      </c>
      <c r="EY56" s="52">
        <f t="shared" si="611"/>
        <v>46392</v>
      </c>
      <c r="EZ56" s="52">
        <f t="shared" si="612"/>
        <v>46393</v>
      </c>
      <c r="FA56" s="52">
        <f t="shared" si="613"/>
        <v>46394</v>
      </c>
      <c r="FB56" s="53" t="e">
        <f t="shared" si="614"/>
        <v>#REF!</v>
      </c>
    </row>
    <row r="57" spans="1:158" ht="18" customHeight="1" outlineLevel="2">
      <c r="A57" s="26"/>
      <c r="B57" s="34"/>
      <c r="C57" s="34"/>
      <c r="D57" s="63" t="s">
        <v>110</v>
      </c>
      <c r="E57" s="42"/>
      <c r="F57" s="43"/>
      <c r="G57" s="60"/>
      <c r="H57" s="71" t="s">
        <v>18</v>
      </c>
      <c r="I57" s="71" t="s">
        <v>18</v>
      </c>
      <c r="J57" s="72" t="s">
        <v>18</v>
      </c>
      <c r="K57" s="73"/>
      <c r="L57" s="74"/>
      <c r="M57" s="46">
        <v>46321</v>
      </c>
      <c r="N57" s="47">
        <v>46325</v>
      </c>
      <c r="O57" s="48">
        <f>5/132/3</f>
        <v>1.2626262626262626E-2</v>
      </c>
      <c r="P57" s="48"/>
      <c r="Q57" s="49"/>
      <c r="R57" s="48"/>
      <c r="S57" s="51">
        <f t="shared" si="30"/>
        <v>46202</v>
      </c>
      <c r="T57" s="52">
        <f t="shared" si="596"/>
        <v>46203</v>
      </c>
      <c r="U57" s="52">
        <f t="shared" si="596"/>
        <v>46204</v>
      </c>
      <c r="V57" s="52">
        <f t="shared" si="596"/>
        <v>46205</v>
      </c>
      <c r="W57" s="53">
        <f t="shared" si="596"/>
        <v>46206</v>
      </c>
      <c r="X57" s="51">
        <v>46209</v>
      </c>
      <c r="Y57" s="52">
        <v>46210</v>
      </c>
      <c r="Z57" s="52">
        <v>46211</v>
      </c>
      <c r="AA57" s="52">
        <v>46212</v>
      </c>
      <c r="AB57" s="53">
        <v>46213</v>
      </c>
      <c r="AC57" s="51">
        <v>46216</v>
      </c>
      <c r="AD57" s="52">
        <v>46217</v>
      </c>
      <c r="AE57" s="52">
        <v>46218</v>
      </c>
      <c r="AF57" s="52">
        <v>46219</v>
      </c>
      <c r="AG57" s="53">
        <v>46220</v>
      </c>
      <c r="AH57" s="51">
        <v>46223</v>
      </c>
      <c r="AI57" s="52">
        <v>46224</v>
      </c>
      <c r="AJ57" s="52">
        <v>46225</v>
      </c>
      <c r="AK57" s="52">
        <v>46226</v>
      </c>
      <c r="AL57" s="53">
        <v>46227</v>
      </c>
      <c r="AM57" s="51">
        <v>46230</v>
      </c>
      <c r="AN57" s="52">
        <v>46231</v>
      </c>
      <c r="AO57" s="52">
        <v>46232</v>
      </c>
      <c r="AP57" s="52">
        <v>46233</v>
      </c>
      <c r="AQ57" s="53">
        <v>46234</v>
      </c>
      <c r="AR57" s="51">
        <v>46237</v>
      </c>
      <c r="AS57" s="52">
        <v>46238</v>
      </c>
      <c r="AT57" s="52">
        <v>46239</v>
      </c>
      <c r="AU57" s="52">
        <v>46240</v>
      </c>
      <c r="AV57" s="53">
        <v>46241</v>
      </c>
      <c r="AW57" s="51">
        <v>46244</v>
      </c>
      <c r="AX57" s="52">
        <v>46245</v>
      </c>
      <c r="AY57" s="52">
        <v>46246</v>
      </c>
      <c r="AZ57" s="52">
        <v>46247</v>
      </c>
      <c r="BA57" s="53">
        <v>46248</v>
      </c>
      <c r="BB57" s="51">
        <v>46251</v>
      </c>
      <c r="BC57" s="52">
        <v>46252</v>
      </c>
      <c r="BD57" s="52">
        <v>46253</v>
      </c>
      <c r="BE57" s="52">
        <v>46254</v>
      </c>
      <c r="BF57" s="53">
        <v>46255</v>
      </c>
      <c r="BG57" s="51">
        <v>46258</v>
      </c>
      <c r="BH57" s="52">
        <v>46259</v>
      </c>
      <c r="BI57" s="52">
        <v>46260</v>
      </c>
      <c r="BJ57" s="52">
        <v>46261</v>
      </c>
      <c r="BK57" s="53">
        <v>46262</v>
      </c>
      <c r="BL57" s="51">
        <v>46265</v>
      </c>
      <c r="BM57" s="52">
        <v>46266</v>
      </c>
      <c r="BN57" s="52">
        <v>46267</v>
      </c>
      <c r="BO57" s="52">
        <v>46268</v>
      </c>
      <c r="BP57" s="53">
        <v>46269</v>
      </c>
      <c r="BQ57" s="51">
        <v>46272</v>
      </c>
      <c r="BR57" s="52">
        <v>46273</v>
      </c>
      <c r="BS57" s="52">
        <v>46274</v>
      </c>
      <c r="BT57" s="52">
        <v>46275</v>
      </c>
      <c r="BU57" s="53">
        <v>46276</v>
      </c>
      <c r="BV57" s="51">
        <v>46279</v>
      </c>
      <c r="BW57" s="52">
        <v>46280</v>
      </c>
      <c r="BX57" s="52">
        <v>46281</v>
      </c>
      <c r="BY57" s="52">
        <v>46282</v>
      </c>
      <c r="BZ57" s="53">
        <v>46283</v>
      </c>
      <c r="CA57" s="51">
        <v>46286</v>
      </c>
      <c r="CB57" s="52">
        <v>46287</v>
      </c>
      <c r="CC57" s="52">
        <v>46288</v>
      </c>
      <c r="CD57" s="52">
        <v>46289</v>
      </c>
      <c r="CE57" s="53">
        <v>46290</v>
      </c>
      <c r="CF57" s="51">
        <v>46293</v>
      </c>
      <c r="CG57" s="52">
        <v>46294</v>
      </c>
      <c r="CH57" s="52">
        <v>46295</v>
      </c>
      <c r="CI57" s="52">
        <v>46296</v>
      </c>
      <c r="CJ57" s="53">
        <v>46297</v>
      </c>
      <c r="CK57" s="51">
        <f t="shared" si="32"/>
        <v>46300</v>
      </c>
      <c r="CL57" s="52">
        <f t="shared" si="597"/>
        <v>46301</v>
      </c>
      <c r="CM57" s="52">
        <f t="shared" si="597"/>
        <v>46302</v>
      </c>
      <c r="CN57" s="52">
        <f t="shared" si="597"/>
        <v>46303</v>
      </c>
      <c r="CO57" s="53">
        <f t="shared" si="597"/>
        <v>46304</v>
      </c>
      <c r="CP57" s="51">
        <f t="shared" si="61"/>
        <v>46307</v>
      </c>
      <c r="CQ57" s="52">
        <f t="shared" si="598"/>
        <v>46308</v>
      </c>
      <c r="CR57" s="52">
        <f t="shared" si="598"/>
        <v>46309</v>
      </c>
      <c r="CS57" s="52">
        <f t="shared" si="598"/>
        <v>46310</v>
      </c>
      <c r="CT57" s="53">
        <f t="shared" si="598"/>
        <v>46311</v>
      </c>
      <c r="CU57" s="51">
        <f t="shared" si="35"/>
        <v>46314</v>
      </c>
      <c r="CV57" s="52">
        <f t="shared" si="599"/>
        <v>46315</v>
      </c>
      <c r="CW57" s="52">
        <f t="shared" si="599"/>
        <v>46316</v>
      </c>
      <c r="CX57" s="52">
        <f t="shared" si="599"/>
        <v>46317</v>
      </c>
      <c r="CY57" s="53">
        <f t="shared" si="599"/>
        <v>46318</v>
      </c>
      <c r="CZ57" s="51">
        <f t="shared" si="37"/>
        <v>46321</v>
      </c>
      <c r="DA57" s="52">
        <f t="shared" si="600"/>
        <v>46322</v>
      </c>
      <c r="DB57" s="52">
        <f t="shared" si="600"/>
        <v>46323</v>
      </c>
      <c r="DC57" s="52">
        <f t="shared" si="600"/>
        <v>46324</v>
      </c>
      <c r="DD57" s="53">
        <f t="shared" si="600"/>
        <v>46325</v>
      </c>
      <c r="DE57" s="51">
        <f t="shared" si="39"/>
        <v>46328</v>
      </c>
      <c r="DF57" s="52">
        <f t="shared" si="601"/>
        <v>46329</v>
      </c>
      <c r="DG57" s="52">
        <f t="shared" si="601"/>
        <v>46330</v>
      </c>
      <c r="DH57" s="52">
        <f t="shared" si="601"/>
        <v>46331</v>
      </c>
      <c r="DI57" s="53">
        <f t="shared" si="601"/>
        <v>46332</v>
      </c>
      <c r="DJ57" s="51">
        <f t="shared" si="41"/>
        <v>46335</v>
      </c>
      <c r="DK57" s="52">
        <f t="shared" si="602"/>
        <v>46336</v>
      </c>
      <c r="DL57" s="52">
        <f t="shared" si="602"/>
        <v>46337</v>
      </c>
      <c r="DM57" s="52">
        <f t="shared" si="602"/>
        <v>46338</v>
      </c>
      <c r="DN57" s="53">
        <f t="shared" si="602"/>
        <v>46339</v>
      </c>
      <c r="DO57" s="51">
        <f t="shared" si="43"/>
        <v>46342</v>
      </c>
      <c r="DP57" s="52">
        <f t="shared" si="603"/>
        <v>46343</v>
      </c>
      <c r="DQ57" s="52">
        <f t="shared" si="603"/>
        <v>46344</v>
      </c>
      <c r="DR57" s="52">
        <f t="shared" si="603"/>
        <v>46345</v>
      </c>
      <c r="DS57" s="53">
        <f t="shared" si="603"/>
        <v>46346</v>
      </c>
      <c r="DT57" s="51">
        <f t="shared" si="45"/>
        <v>46349</v>
      </c>
      <c r="DU57" s="52">
        <f t="shared" si="604"/>
        <v>46350</v>
      </c>
      <c r="DV57" s="52">
        <f t="shared" si="604"/>
        <v>46351</v>
      </c>
      <c r="DW57" s="52">
        <f t="shared" si="604"/>
        <v>46352</v>
      </c>
      <c r="DX57" s="53">
        <f t="shared" si="604"/>
        <v>46353</v>
      </c>
      <c r="DY57" s="51">
        <f t="shared" si="47"/>
        <v>46356</v>
      </c>
      <c r="DZ57" s="52">
        <f t="shared" si="605"/>
        <v>46357</v>
      </c>
      <c r="EA57" s="52">
        <f t="shared" si="605"/>
        <v>46358</v>
      </c>
      <c r="EB57" s="52">
        <f t="shared" si="605"/>
        <v>46359</v>
      </c>
      <c r="EC57" s="53">
        <f t="shared" si="605"/>
        <v>46360</v>
      </c>
      <c r="ED57" s="51">
        <f t="shared" si="49"/>
        <v>46363</v>
      </c>
      <c r="EE57" s="52">
        <f t="shared" si="606"/>
        <v>46364</v>
      </c>
      <c r="EF57" s="52">
        <f t="shared" si="606"/>
        <v>46365</v>
      </c>
      <c r="EG57" s="52">
        <f t="shared" si="606"/>
        <v>46366</v>
      </c>
      <c r="EH57" s="53">
        <f t="shared" si="606"/>
        <v>46367</v>
      </c>
      <c r="EI57" s="51">
        <f t="shared" si="51"/>
        <v>46370</v>
      </c>
      <c r="EJ57" s="52">
        <f t="shared" si="607"/>
        <v>46371</v>
      </c>
      <c r="EK57" s="52">
        <f t="shared" si="607"/>
        <v>46372</v>
      </c>
      <c r="EL57" s="52">
        <f t="shared" si="607"/>
        <v>46373</v>
      </c>
      <c r="EM57" s="53">
        <f t="shared" si="607"/>
        <v>46374</v>
      </c>
      <c r="EN57" s="51">
        <f t="shared" si="53"/>
        <v>46377</v>
      </c>
      <c r="EO57" s="52">
        <f t="shared" si="608"/>
        <v>46378</v>
      </c>
      <c r="EP57" s="52">
        <f t="shared" si="608"/>
        <v>46379</v>
      </c>
      <c r="EQ57" s="52">
        <f t="shared" si="608"/>
        <v>46380</v>
      </c>
      <c r="ER57" s="53">
        <f t="shared" si="608"/>
        <v>46381</v>
      </c>
      <c r="ES57" s="51">
        <f t="shared" si="55"/>
        <v>46384</v>
      </c>
      <c r="ET57" s="52">
        <f t="shared" si="609"/>
        <v>46385</v>
      </c>
      <c r="EU57" s="52">
        <f t="shared" si="609"/>
        <v>46386</v>
      </c>
      <c r="EV57" s="52">
        <f t="shared" si="609"/>
        <v>46387</v>
      </c>
      <c r="EW57" s="53">
        <f t="shared" si="609"/>
        <v>46388</v>
      </c>
      <c r="EX57" s="51">
        <f t="shared" si="57"/>
        <v>46391</v>
      </c>
      <c r="EY57" s="52">
        <f t="shared" si="611"/>
        <v>46392</v>
      </c>
      <c r="EZ57" s="52">
        <f t="shared" si="612"/>
        <v>46393</v>
      </c>
      <c r="FA57" s="52">
        <f t="shared" si="613"/>
        <v>46394</v>
      </c>
      <c r="FB57" s="53">
        <f t="shared" si="614"/>
        <v>46395</v>
      </c>
    </row>
    <row r="58" spans="1:158" ht="17.25" customHeight="1" outlineLevel="1">
      <c r="A58" s="26"/>
      <c r="B58" s="34"/>
      <c r="C58" s="35" t="s">
        <v>130</v>
      </c>
      <c r="D58" s="36"/>
      <c r="E58" s="37"/>
      <c r="F58" s="38"/>
      <c r="G58" s="59"/>
      <c r="H58" s="67"/>
      <c r="I58" s="67"/>
      <c r="J58" s="68"/>
      <c r="K58" s="69"/>
      <c r="L58" s="70"/>
      <c r="M58" s="39">
        <f>MIN(M59:M61)</f>
        <v>46328</v>
      </c>
      <c r="N58" s="40">
        <f>MAX(N59:N61)</f>
        <v>46339</v>
      </c>
      <c r="O58" s="24">
        <f>SUM(O59:O61)</f>
        <v>3.787878787878788E-2</v>
      </c>
      <c r="P58" s="24"/>
      <c r="Q58" s="24"/>
      <c r="R58" s="24"/>
      <c r="S58" s="51">
        <f t="shared" si="30"/>
        <v>46202</v>
      </c>
      <c r="T58" s="52">
        <f t="shared" si="596"/>
        <v>46203</v>
      </c>
      <c r="U58" s="52">
        <f t="shared" si="596"/>
        <v>46204</v>
      </c>
      <c r="V58" s="52">
        <f t="shared" si="596"/>
        <v>46205</v>
      </c>
      <c r="W58" s="53">
        <f t="shared" si="596"/>
        <v>46206</v>
      </c>
      <c r="X58" s="51">
        <v>46209</v>
      </c>
      <c r="Y58" s="52">
        <v>46210</v>
      </c>
      <c r="Z58" s="52">
        <v>46211</v>
      </c>
      <c r="AA58" s="52">
        <v>46212</v>
      </c>
      <c r="AB58" s="53">
        <v>46213</v>
      </c>
      <c r="AC58" s="51">
        <v>46216</v>
      </c>
      <c r="AD58" s="52">
        <v>46217</v>
      </c>
      <c r="AE58" s="52">
        <v>46218</v>
      </c>
      <c r="AF58" s="52">
        <v>46219</v>
      </c>
      <c r="AG58" s="53">
        <v>46220</v>
      </c>
      <c r="AH58" s="51">
        <v>46223</v>
      </c>
      <c r="AI58" s="52">
        <v>46224</v>
      </c>
      <c r="AJ58" s="52">
        <v>46225</v>
      </c>
      <c r="AK58" s="52">
        <v>46226</v>
      </c>
      <c r="AL58" s="53">
        <v>46227</v>
      </c>
      <c r="AM58" s="51">
        <v>46230</v>
      </c>
      <c r="AN58" s="52">
        <v>46231</v>
      </c>
      <c r="AO58" s="52">
        <v>46232</v>
      </c>
      <c r="AP58" s="52">
        <v>46233</v>
      </c>
      <c r="AQ58" s="53">
        <v>46234</v>
      </c>
      <c r="AR58" s="51">
        <v>46237</v>
      </c>
      <c r="AS58" s="52">
        <v>46238</v>
      </c>
      <c r="AT58" s="52">
        <v>46239</v>
      </c>
      <c r="AU58" s="52">
        <v>46240</v>
      </c>
      <c r="AV58" s="53">
        <v>46241</v>
      </c>
      <c r="AW58" s="51">
        <v>46244</v>
      </c>
      <c r="AX58" s="52">
        <v>46245</v>
      </c>
      <c r="AY58" s="52">
        <v>46246</v>
      </c>
      <c r="AZ58" s="52">
        <v>46247</v>
      </c>
      <c r="BA58" s="53">
        <v>46248</v>
      </c>
      <c r="BB58" s="51">
        <v>46251</v>
      </c>
      <c r="BC58" s="52">
        <v>46252</v>
      </c>
      <c r="BD58" s="52">
        <v>46253</v>
      </c>
      <c r="BE58" s="52">
        <v>46254</v>
      </c>
      <c r="BF58" s="53">
        <v>46255</v>
      </c>
      <c r="BG58" s="51">
        <v>46258</v>
      </c>
      <c r="BH58" s="52">
        <v>46259</v>
      </c>
      <c r="BI58" s="52">
        <v>46260</v>
      </c>
      <c r="BJ58" s="52">
        <v>46261</v>
      </c>
      <c r="BK58" s="53">
        <v>46262</v>
      </c>
      <c r="BL58" s="51">
        <v>46265</v>
      </c>
      <c r="BM58" s="52">
        <v>46266</v>
      </c>
      <c r="BN58" s="52">
        <v>46267</v>
      </c>
      <c r="BO58" s="52">
        <v>46268</v>
      </c>
      <c r="BP58" s="53">
        <v>46269</v>
      </c>
      <c r="BQ58" s="51">
        <v>46272</v>
      </c>
      <c r="BR58" s="52">
        <v>46273</v>
      </c>
      <c r="BS58" s="52">
        <v>46274</v>
      </c>
      <c r="BT58" s="52">
        <v>46275</v>
      </c>
      <c r="BU58" s="53">
        <v>46276</v>
      </c>
      <c r="BV58" s="51">
        <v>46279</v>
      </c>
      <c r="BW58" s="52">
        <v>46280</v>
      </c>
      <c r="BX58" s="52">
        <v>46281</v>
      </c>
      <c r="BY58" s="52">
        <v>46282</v>
      </c>
      <c r="BZ58" s="53">
        <v>46283</v>
      </c>
      <c r="CA58" s="51">
        <v>46286</v>
      </c>
      <c r="CB58" s="52">
        <v>46287</v>
      </c>
      <c r="CC58" s="52">
        <v>46288</v>
      </c>
      <c r="CD58" s="52">
        <v>46289</v>
      </c>
      <c r="CE58" s="53">
        <v>46290</v>
      </c>
      <c r="CF58" s="51">
        <v>46293</v>
      </c>
      <c r="CG58" s="52">
        <v>46294</v>
      </c>
      <c r="CH58" s="52">
        <v>46295</v>
      </c>
      <c r="CI58" s="52">
        <v>46296</v>
      </c>
      <c r="CJ58" s="53">
        <v>46297</v>
      </c>
      <c r="CK58" s="51">
        <f t="shared" si="32"/>
        <v>46300</v>
      </c>
      <c r="CL58" s="52">
        <f t="shared" si="597"/>
        <v>46301</v>
      </c>
      <c r="CM58" s="52">
        <f t="shared" si="597"/>
        <v>46302</v>
      </c>
      <c r="CN58" s="52">
        <f t="shared" si="597"/>
        <v>46303</v>
      </c>
      <c r="CO58" s="53">
        <f t="shared" si="597"/>
        <v>46304</v>
      </c>
      <c r="CP58" s="51">
        <f t="shared" si="61"/>
        <v>46307</v>
      </c>
      <c r="CQ58" s="52">
        <f t="shared" si="598"/>
        <v>46308</v>
      </c>
      <c r="CR58" s="52">
        <f t="shared" si="598"/>
        <v>46309</v>
      </c>
      <c r="CS58" s="52">
        <f t="shared" si="598"/>
        <v>46310</v>
      </c>
      <c r="CT58" s="53">
        <f t="shared" si="598"/>
        <v>46311</v>
      </c>
      <c r="CU58" s="51">
        <f t="shared" si="35"/>
        <v>46314</v>
      </c>
      <c r="CV58" s="52">
        <f t="shared" si="599"/>
        <v>46315</v>
      </c>
      <c r="CW58" s="52">
        <f t="shared" si="599"/>
        <v>46316</v>
      </c>
      <c r="CX58" s="52">
        <f t="shared" si="599"/>
        <v>46317</v>
      </c>
      <c r="CY58" s="53">
        <f t="shared" si="599"/>
        <v>46318</v>
      </c>
      <c r="CZ58" s="51">
        <f t="shared" si="37"/>
        <v>46321</v>
      </c>
      <c r="DA58" s="52">
        <f t="shared" si="600"/>
        <v>46322</v>
      </c>
      <c r="DB58" s="52">
        <f t="shared" si="600"/>
        <v>46323</v>
      </c>
      <c r="DC58" s="52">
        <f t="shared" si="600"/>
        <v>46324</v>
      </c>
      <c r="DD58" s="53">
        <f t="shared" si="600"/>
        <v>46325</v>
      </c>
      <c r="DE58" s="51">
        <f t="shared" si="39"/>
        <v>46328</v>
      </c>
      <c r="DF58" s="52">
        <f t="shared" si="601"/>
        <v>46329</v>
      </c>
      <c r="DG58" s="52">
        <f t="shared" si="601"/>
        <v>46330</v>
      </c>
      <c r="DH58" s="52">
        <f t="shared" si="601"/>
        <v>46331</v>
      </c>
      <c r="DI58" s="53">
        <f t="shared" si="601"/>
        <v>46332</v>
      </c>
      <c r="DJ58" s="51">
        <f t="shared" si="41"/>
        <v>46335</v>
      </c>
      <c r="DK58" s="52">
        <f t="shared" si="602"/>
        <v>46336</v>
      </c>
      <c r="DL58" s="52">
        <f t="shared" si="602"/>
        <v>46337</v>
      </c>
      <c r="DM58" s="52">
        <f t="shared" si="602"/>
        <v>46338</v>
      </c>
      <c r="DN58" s="53">
        <f t="shared" si="602"/>
        <v>46339</v>
      </c>
      <c r="DO58" s="51">
        <f t="shared" si="43"/>
        <v>46342</v>
      </c>
      <c r="DP58" s="52">
        <f t="shared" si="603"/>
        <v>46343</v>
      </c>
      <c r="DQ58" s="52">
        <f t="shared" si="603"/>
        <v>46344</v>
      </c>
      <c r="DR58" s="52">
        <f t="shared" si="603"/>
        <v>46345</v>
      </c>
      <c r="DS58" s="53">
        <f t="shared" si="603"/>
        <v>46346</v>
      </c>
      <c r="DT58" s="51">
        <f t="shared" si="45"/>
        <v>46349</v>
      </c>
      <c r="DU58" s="52">
        <f t="shared" si="604"/>
        <v>46350</v>
      </c>
      <c r="DV58" s="52">
        <f t="shared" si="604"/>
        <v>46351</v>
      </c>
      <c r="DW58" s="52">
        <f t="shared" si="604"/>
        <v>46352</v>
      </c>
      <c r="DX58" s="53">
        <f t="shared" si="604"/>
        <v>46353</v>
      </c>
      <c r="DY58" s="51">
        <f t="shared" si="47"/>
        <v>46356</v>
      </c>
      <c r="DZ58" s="52">
        <f t="shared" si="605"/>
        <v>46357</v>
      </c>
      <c r="EA58" s="52">
        <f t="shared" si="605"/>
        <v>46358</v>
      </c>
      <c r="EB58" s="52">
        <f t="shared" si="605"/>
        <v>46359</v>
      </c>
      <c r="EC58" s="53">
        <f t="shared" si="605"/>
        <v>46360</v>
      </c>
      <c r="ED58" s="51">
        <f t="shared" si="49"/>
        <v>46363</v>
      </c>
      <c r="EE58" s="52">
        <f t="shared" si="606"/>
        <v>46364</v>
      </c>
      <c r="EF58" s="52">
        <f t="shared" si="606"/>
        <v>46365</v>
      </c>
      <c r="EG58" s="52">
        <f t="shared" si="606"/>
        <v>46366</v>
      </c>
      <c r="EH58" s="53">
        <f t="shared" si="606"/>
        <v>46367</v>
      </c>
      <c r="EI58" s="51">
        <f t="shared" si="51"/>
        <v>46370</v>
      </c>
      <c r="EJ58" s="52">
        <f t="shared" si="607"/>
        <v>46371</v>
      </c>
      <c r="EK58" s="52">
        <f t="shared" si="607"/>
        <v>46372</v>
      </c>
      <c r="EL58" s="52">
        <f t="shared" si="607"/>
        <v>46373</v>
      </c>
      <c r="EM58" s="53">
        <f t="shared" si="607"/>
        <v>46374</v>
      </c>
      <c r="EN58" s="51">
        <f t="shared" si="53"/>
        <v>46377</v>
      </c>
      <c r="EO58" s="52">
        <f t="shared" si="608"/>
        <v>46378</v>
      </c>
      <c r="EP58" s="52">
        <f t="shared" si="608"/>
        <v>46379</v>
      </c>
      <c r="EQ58" s="52">
        <f t="shared" si="608"/>
        <v>46380</v>
      </c>
      <c r="ER58" s="53">
        <f t="shared" si="608"/>
        <v>46381</v>
      </c>
      <c r="ES58" s="51">
        <f t="shared" si="55"/>
        <v>46384</v>
      </c>
      <c r="ET58" s="52">
        <f t="shared" si="609"/>
        <v>46385</v>
      </c>
      <c r="EU58" s="52">
        <f t="shared" si="609"/>
        <v>46386</v>
      </c>
      <c r="EV58" s="52">
        <f t="shared" si="609"/>
        <v>46387</v>
      </c>
      <c r="EW58" s="53">
        <f t="shared" si="609"/>
        <v>46388</v>
      </c>
      <c r="EX58" s="51">
        <f t="shared" si="57"/>
        <v>46391</v>
      </c>
      <c r="EY58" s="52" t="e">
        <f>#REF!+1</f>
        <v>#REF!</v>
      </c>
      <c r="EZ58" s="52" t="e">
        <f>#REF!+1</f>
        <v>#REF!</v>
      </c>
      <c r="FA58" s="52" t="e">
        <f>#REF!+1</f>
        <v>#REF!</v>
      </c>
      <c r="FB58" s="53" t="e">
        <f>#REF!+1</f>
        <v>#REF!</v>
      </c>
    </row>
    <row r="59" spans="1:158" ht="18" customHeight="1" outlineLevel="2">
      <c r="A59" s="26"/>
      <c r="B59" s="34"/>
      <c r="C59" s="34"/>
      <c r="D59" s="41" t="s">
        <v>111</v>
      </c>
      <c r="E59" s="42"/>
      <c r="F59" s="43"/>
      <c r="G59" s="71" t="s">
        <v>18</v>
      </c>
      <c r="H59" s="71"/>
      <c r="I59" s="71"/>
      <c r="J59" s="72"/>
      <c r="K59" s="73"/>
      <c r="L59" s="74"/>
      <c r="M59" s="46">
        <v>46328</v>
      </c>
      <c r="N59" s="47">
        <v>46332</v>
      </c>
      <c r="O59" s="48">
        <f>5/132/3</f>
        <v>1.2626262626262626E-2</v>
      </c>
      <c r="P59" s="48"/>
      <c r="Q59" s="49"/>
      <c r="R59" s="48"/>
      <c r="S59" s="51">
        <f t="shared" si="30"/>
        <v>46202</v>
      </c>
      <c r="T59" s="52">
        <f t="shared" si="596"/>
        <v>46203</v>
      </c>
      <c r="U59" s="52">
        <f t="shared" si="596"/>
        <v>46204</v>
      </c>
      <c r="V59" s="52">
        <f t="shared" si="596"/>
        <v>46205</v>
      </c>
      <c r="W59" s="53">
        <f t="shared" si="596"/>
        <v>46206</v>
      </c>
      <c r="X59" s="51">
        <v>46209</v>
      </c>
      <c r="Y59" s="52">
        <v>46210</v>
      </c>
      <c r="Z59" s="52">
        <v>46211</v>
      </c>
      <c r="AA59" s="52">
        <v>46212</v>
      </c>
      <c r="AB59" s="53">
        <v>46213</v>
      </c>
      <c r="AC59" s="51">
        <v>46216</v>
      </c>
      <c r="AD59" s="52">
        <v>46217</v>
      </c>
      <c r="AE59" s="52">
        <v>46218</v>
      </c>
      <c r="AF59" s="52">
        <v>46219</v>
      </c>
      <c r="AG59" s="53">
        <v>46220</v>
      </c>
      <c r="AH59" s="51">
        <v>46223</v>
      </c>
      <c r="AI59" s="52">
        <v>46224</v>
      </c>
      <c r="AJ59" s="52">
        <v>46225</v>
      </c>
      <c r="AK59" s="52">
        <v>46226</v>
      </c>
      <c r="AL59" s="53">
        <v>46227</v>
      </c>
      <c r="AM59" s="51">
        <v>46230</v>
      </c>
      <c r="AN59" s="52">
        <v>46231</v>
      </c>
      <c r="AO59" s="52">
        <v>46232</v>
      </c>
      <c r="AP59" s="52">
        <v>46233</v>
      </c>
      <c r="AQ59" s="53">
        <v>46234</v>
      </c>
      <c r="AR59" s="51">
        <v>46237</v>
      </c>
      <c r="AS59" s="52">
        <v>46238</v>
      </c>
      <c r="AT59" s="52">
        <v>46239</v>
      </c>
      <c r="AU59" s="52">
        <v>46240</v>
      </c>
      <c r="AV59" s="53">
        <v>46241</v>
      </c>
      <c r="AW59" s="51">
        <v>46244</v>
      </c>
      <c r="AX59" s="52">
        <v>46245</v>
      </c>
      <c r="AY59" s="52">
        <v>46246</v>
      </c>
      <c r="AZ59" s="52">
        <v>46247</v>
      </c>
      <c r="BA59" s="53">
        <v>46248</v>
      </c>
      <c r="BB59" s="51">
        <v>46251</v>
      </c>
      <c r="BC59" s="52">
        <v>46252</v>
      </c>
      <c r="BD59" s="52">
        <v>46253</v>
      </c>
      <c r="BE59" s="52">
        <v>46254</v>
      </c>
      <c r="BF59" s="53">
        <v>46255</v>
      </c>
      <c r="BG59" s="51">
        <v>46258</v>
      </c>
      <c r="BH59" s="52">
        <v>46259</v>
      </c>
      <c r="BI59" s="52">
        <v>46260</v>
      </c>
      <c r="BJ59" s="52">
        <v>46261</v>
      </c>
      <c r="BK59" s="53">
        <v>46262</v>
      </c>
      <c r="BL59" s="51">
        <v>46265</v>
      </c>
      <c r="BM59" s="52">
        <v>46266</v>
      </c>
      <c r="BN59" s="52">
        <v>46267</v>
      </c>
      <c r="BO59" s="52">
        <v>46268</v>
      </c>
      <c r="BP59" s="53">
        <v>46269</v>
      </c>
      <c r="BQ59" s="51">
        <v>46272</v>
      </c>
      <c r="BR59" s="52">
        <v>46273</v>
      </c>
      <c r="BS59" s="52">
        <v>46274</v>
      </c>
      <c r="BT59" s="52">
        <v>46275</v>
      </c>
      <c r="BU59" s="53">
        <v>46276</v>
      </c>
      <c r="BV59" s="51">
        <v>46279</v>
      </c>
      <c r="BW59" s="52">
        <v>46280</v>
      </c>
      <c r="BX59" s="52">
        <v>46281</v>
      </c>
      <c r="BY59" s="52">
        <v>46282</v>
      </c>
      <c r="BZ59" s="53">
        <v>46283</v>
      </c>
      <c r="CA59" s="51">
        <v>46286</v>
      </c>
      <c r="CB59" s="52">
        <v>46287</v>
      </c>
      <c r="CC59" s="52">
        <v>46288</v>
      </c>
      <c r="CD59" s="52">
        <v>46289</v>
      </c>
      <c r="CE59" s="53">
        <v>46290</v>
      </c>
      <c r="CF59" s="51">
        <v>46293</v>
      </c>
      <c r="CG59" s="52">
        <v>46294</v>
      </c>
      <c r="CH59" s="52">
        <v>46295</v>
      </c>
      <c r="CI59" s="52">
        <v>46296</v>
      </c>
      <c r="CJ59" s="53">
        <v>46297</v>
      </c>
      <c r="CK59" s="51">
        <f t="shared" si="32"/>
        <v>46300</v>
      </c>
      <c r="CL59" s="52">
        <f t="shared" si="597"/>
        <v>46301</v>
      </c>
      <c r="CM59" s="52">
        <f t="shared" si="597"/>
        <v>46302</v>
      </c>
      <c r="CN59" s="52">
        <f t="shared" si="597"/>
        <v>46303</v>
      </c>
      <c r="CO59" s="53">
        <f t="shared" si="597"/>
        <v>46304</v>
      </c>
      <c r="CP59" s="51">
        <f t="shared" si="61"/>
        <v>46307</v>
      </c>
      <c r="CQ59" s="52">
        <f t="shared" si="598"/>
        <v>46308</v>
      </c>
      <c r="CR59" s="52">
        <f t="shared" si="598"/>
        <v>46309</v>
      </c>
      <c r="CS59" s="52">
        <f t="shared" si="598"/>
        <v>46310</v>
      </c>
      <c r="CT59" s="53">
        <f t="shared" si="598"/>
        <v>46311</v>
      </c>
      <c r="CU59" s="51">
        <f t="shared" si="35"/>
        <v>46314</v>
      </c>
      <c r="CV59" s="52">
        <f t="shared" si="599"/>
        <v>46315</v>
      </c>
      <c r="CW59" s="52">
        <f t="shared" si="599"/>
        <v>46316</v>
      </c>
      <c r="CX59" s="52">
        <f t="shared" si="599"/>
        <v>46317</v>
      </c>
      <c r="CY59" s="53">
        <f t="shared" si="599"/>
        <v>46318</v>
      </c>
      <c r="CZ59" s="51">
        <f t="shared" si="37"/>
        <v>46321</v>
      </c>
      <c r="DA59" s="52">
        <f t="shared" si="600"/>
        <v>46322</v>
      </c>
      <c r="DB59" s="52">
        <f t="shared" si="600"/>
        <v>46323</v>
      </c>
      <c r="DC59" s="52">
        <f t="shared" si="600"/>
        <v>46324</v>
      </c>
      <c r="DD59" s="53">
        <f t="shared" si="600"/>
        <v>46325</v>
      </c>
      <c r="DE59" s="51">
        <f t="shared" si="39"/>
        <v>46328</v>
      </c>
      <c r="DF59" s="52">
        <f t="shared" si="601"/>
        <v>46329</v>
      </c>
      <c r="DG59" s="52">
        <f t="shared" si="601"/>
        <v>46330</v>
      </c>
      <c r="DH59" s="52">
        <f t="shared" si="601"/>
        <v>46331</v>
      </c>
      <c r="DI59" s="53">
        <f t="shared" si="601"/>
        <v>46332</v>
      </c>
      <c r="DJ59" s="51">
        <f t="shared" si="41"/>
        <v>46335</v>
      </c>
      <c r="DK59" s="52">
        <f t="shared" si="602"/>
        <v>46336</v>
      </c>
      <c r="DL59" s="52">
        <f t="shared" si="602"/>
        <v>46337</v>
      </c>
      <c r="DM59" s="52">
        <f t="shared" si="602"/>
        <v>46338</v>
      </c>
      <c r="DN59" s="53">
        <f t="shared" si="602"/>
        <v>46339</v>
      </c>
      <c r="DO59" s="51">
        <f t="shared" si="43"/>
        <v>46342</v>
      </c>
      <c r="DP59" s="52">
        <f t="shared" si="603"/>
        <v>46343</v>
      </c>
      <c r="DQ59" s="52">
        <f t="shared" si="603"/>
        <v>46344</v>
      </c>
      <c r="DR59" s="52">
        <f t="shared" si="603"/>
        <v>46345</v>
      </c>
      <c r="DS59" s="53">
        <f t="shared" si="603"/>
        <v>46346</v>
      </c>
      <c r="DT59" s="51">
        <f t="shared" si="45"/>
        <v>46349</v>
      </c>
      <c r="DU59" s="52">
        <f t="shared" si="604"/>
        <v>46350</v>
      </c>
      <c r="DV59" s="52">
        <f t="shared" si="604"/>
        <v>46351</v>
      </c>
      <c r="DW59" s="52">
        <f t="shared" si="604"/>
        <v>46352</v>
      </c>
      <c r="DX59" s="53">
        <f t="shared" si="604"/>
        <v>46353</v>
      </c>
      <c r="DY59" s="51">
        <f t="shared" si="47"/>
        <v>46356</v>
      </c>
      <c r="DZ59" s="52">
        <f t="shared" si="605"/>
        <v>46357</v>
      </c>
      <c r="EA59" s="52">
        <f t="shared" si="605"/>
        <v>46358</v>
      </c>
      <c r="EB59" s="52">
        <f t="shared" si="605"/>
        <v>46359</v>
      </c>
      <c r="EC59" s="53">
        <f t="shared" si="605"/>
        <v>46360</v>
      </c>
      <c r="ED59" s="51">
        <f t="shared" si="49"/>
        <v>46363</v>
      </c>
      <c r="EE59" s="52">
        <f t="shared" si="606"/>
        <v>46364</v>
      </c>
      <c r="EF59" s="52">
        <f t="shared" si="606"/>
        <v>46365</v>
      </c>
      <c r="EG59" s="52">
        <f t="shared" si="606"/>
        <v>46366</v>
      </c>
      <c r="EH59" s="53">
        <f t="shared" si="606"/>
        <v>46367</v>
      </c>
      <c r="EI59" s="51">
        <f t="shared" si="51"/>
        <v>46370</v>
      </c>
      <c r="EJ59" s="52">
        <f t="shared" si="607"/>
        <v>46371</v>
      </c>
      <c r="EK59" s="52">
        <f t="shared" si="607"/>
        <v>46372</v>
      </c>
      <c r="EL59" s="52">
        <f t="shared" si="607"/>
        <v>46373</v>
      </c>
      <c r="EM59" s="53">
        <f t="shared" si="607"/>
        <v>46374</v>
      </c>
      <c r="EN59" s="51">
        <f t="shared" si="53"/>
        <v>46377</v>
      </c>
      <c r="EO59" s="52">
        <f t="shared" si="608"/>
        <v>46378</v>
      </c>
      <c r="EP59" s="52">
        <f t="shared" si="608"/>
        <v>46379</v>
      </c>
      <c r="EQ59" s="52">
        <f t="shared" si="608"/>
        <v>46380</v>
      </c>
      <c r="ER59" s="53">
        <f t="shared" si="608"/>
        <v>46381</v>
      </c>
      <c r="ES59" s="51">
        <f t="shared" si="55"/>
        <v>46384</v>
      </c>
      <c r="ET59" s="52">
        <f t="shared" si="609"/>
        <v>46385</v>
      </c>
      <c r="EU59" s="52">
        <f t="shared" si="609"/>
        <v>46386</v>
      </c>
      <c r="EV59" s="52">
        <f t="shared" si="609"/>
        <v>46387</v>
      </c>
      <c r="EW59" s="53">
        <f t="shared" si="609"/>
        <v>46388</v>
      </c>
      <c r="EX59" s="51">
        <f t="shared" si="57"/>
        <v>46391</v>
      </c>
      <c r="EY59" s="52">
        <f t="shared" ref="EY59" si="615">EX58+1</f>
        <v>46392</v>
      </c>
      <c r="EZ59" s="52" t="e">
        <f t="shared" ref="EZ59" si="616">EY58+1</f>
        <v>#REF!</v>
      </c>
      <c r="FA59" s="52" t="e">
        <f t="shared" ref="FA59" si="617">EZ58+1</f>
        <v>#REF!</v>
      </c>
      <c r="FB59" s="53" t="e">
        <f t="shared" ref="FB59" si="618">FA58+1</f>
        <v>#REF!</v>
      </c>
    </row>
    <row r="60" spans="1:158" ht="18" customHeight="1" outlineLevel="2">
      <c r="A60" s="26"/>
      <c r="B60" s="34"/>
      <c r="C60" s="34"/>
      <c r="D60" s="2" t="s">
        <v>112</v>
      </c>
      <c r="E60" s="42"/>
      <c r="F60" s="43"/>
      <c r="G60" s="71" t="s">
        <v>18</v>
      </c>
      <c r="H60" s="71"/>
      <c r="I60" s="71"/>
      <c r="J60" s="72"/>
      <c r="K60" s="73"/>
      <c r="L60" s="74"/>
      <c r="M60" s="46">
        <v>46328</v>
      </c>
      <c r="N60" s="47">
        <v>46332</v>
      </c>
      <c r="O60" s="14">
        <f>5/132/3</f>
        <v>1.2626262626262626E-2</v>
      </c>
      <c r="P60" s="14"/>
      <c r="Q60" s="15"/>
      <c r="R60" s="14"/>
      <c r="S60" s="51">
        <f t="shared" si="30"/>
        <v>46202</v>
      </c>
      <c r="T60" s="52">
        <f t="shared" si="596"/>
        <v>46203</v>
      </c>
      <c r="U60" s="52">
        <f t="shared" si="596"/>
        <v>46204</v>
      </c>
      <c r="V60" s="52">
        <f t="shared" si="596"/>
        <v>46205</v>
      </c>
      <c r="W60" s="53">
        <f t="shared" si="596"/>
        <v>46206</v>
      </c>
      <c r="X60" s="51">
        <v>46209</v>
      </c>
      <c r="Y60" s="52">
        <v>46210</v>
      </c>
      <c r="Z60" s="52">
        <v>46211</v>
      </c>
      <c r="AA60" s="52">
        <v>46212</v>
      </c>
      <c r="AB60" s="53">
        <v>46213</v>
      </c>
      <c r="AC60" s="51">
        <v>46216</v>
      </c>
      <c r="AD60" s="52">
        <v>46217</v>
      </c>
      <c r="AE60" s="52">
        <v>46218</v>
      </c>
      <c r="AF60" s="52">
        <v>46219</v>
      </c>
      <c r="AG60" s="53">
        <v>46220</v>
      </c>
      <c r="AH60" s="51">
        <v>46223</v>
      </c>
      <c r="AI60" s="52">
        <v>46224</v>
      </c>
      <c r="AJ60" s="52">
        <v>46225</v>
      </c>
      <c r="AK60" s="52">
        <v>46226</v>
      </c>
      <c r="AL60" s="53">
        <v>46227</v>
      </c>
      <c r="AM60" s="51">
        <v>46230</v>
      </c>
      <c r="AN60" s="52">
        <v>46231</v>
      </c>
      <c r="AO60" s="52">
        <v>46232</v>
      </c>
      <c r="AP60" s="52">
        <v>46233</v>
      </c>
      <c r="AQ60" s="53">
        <v>46234</v>
      </c>
      <c r="AR60" s="51">
        <v>46237</v>
      </c>
      <c r="AS60" s="52">
        <v>46238</v>
      </c>
      <c r="AT60" s="52">
        <v>46239</v>
      </c>
      <c r="AU60" s="52">
        <v>46240</v>
      </c>
      <c r="AV60" s="53">
        <v>46241</v>
      </c>
      <c r="AW60" s="51">
        <v>46244</v>
      </c>
      <c r="AX60" s="52">
        <v>46245</v>
      </c>
      <c r="AY60" s="52">
        <v>46246</v>
      </c>
      <c r="AZ60" s="52">
        <v>46247</v>
      </c>
      <c r="BA60" s="53">
        <v>46248</v>
      </c>
      <c r="BB60" s="51">
        <v>46251</v>
      </c>
      <c r="BC60" s="52">
        <v>46252</v>
      </c>
      <c r="BD60" s="52">
        <v>46253</v>
      </c>
      <c r="BE60" s="52">
        <v>46254</v>
      </c>
      <c r="BF60" s="53">
        <v>46255</v>
      </c>
      <c r="BG60" s="51">
        <v>46258</v>
      </c>
      <c r="BH60" s="52">
        <v>46259</v>
      </c>
      <c r="BI60" s="52">
        <v>46260</v>
      </c>
      <c r="BJ60" s="52">
        <v>46261</v>
      </c>
      <c r="BK60" s="53">
        <v>46262</v>
      </c>
      <c r="BL60" s="51">
        <v>46265</v>
      </c>
      <c r="BM60" s="52">
        <v>46266</v>
      </c>
      <c r="BN60" s="52">
        <v>46267</v>
      </c>
      <c r="BO60" s="52">
        <v>46268</v>
      </c>
      <c r="BP60" s="53">
        <v>46269</v>
      </c>
      <c r="BQ60" s="51">
        <v>46272</v>
      </c>
      <c r="BR60" s="52">
        <v>46273</v>
      </c>
      <c r="BS60" s="52">
        <v>46274</v>
      </c>
      <c r="BT60" s="52">
        <v>46275</v>
      </c>
      <c r="BU60" s="53">
        <v>46276</v>
      </c>
      <c r="BV60" s="51">
        <v>46279</v>
      </c>
      <c r="BW60" s="52">
        <v>46280</v>
      </c>
      <c r="BX60" s="52">
        <v>46281</v>
      </c>
      <c r="BY60" s="52">
        <v>46282</v>
      </c>
      <c r="BZ60" s="53">
        <v>46283</v>
      </c>
      <c r="CA60" s="51">
        <v>46286</v>
      </c>
      <c r="CB60" s="52">
        <v>46287</v>
      </c>
      <c r="CC60" s="52">
        <v>46288</v>
      </c>
      <c r="CD60" s="52">
        <v>46289</v>
      </c>
      <c r="CE60" s="53">
        <v>46290</v>
      </c>
      <c r="CF60" s="51">
        <v>46293</v>
      </c>
      <c r="CG60" s="52">
        <v>46294</v>
      </c>
      <c r="CH60" s="52">
        <v>46295</v>
      </c>
      <c r="CI60" s="52">
        <v>46296</v>
      </c>
      <c r="CJ60" s="53">
        <v>46297</v>
      </c>
      <c r="CK60" s="51">
        <f t="shared" si="32"/>
        <v>46300</v>
      </c>
      <c r="CL60" s="52">
        <f t="shared" si="597"/>
        <v>46301</v>
      </c>
      <c r="CM60" s="52">
        <f t="shared" si="597"/>
        <v>46302</v>
      </c>
      <c r="CN60" s="52">
        <f t="shared" si="597"/>
        <v>46303</v>
      </c>
      <c r="CO60" s="53">
        <f t="shared" si="597"/>
        <v>46304</v>
      </c>
      <c r="CP60" s="51">
        <f t="shared" si="61"/>
        <v>46307</v>
      </c>
      <c r="CQ60" s="52">
        <f t="shared" si="598"/>
        <v>46308</v>
      </c>
      <c r="CR60" s="52">
        <f t="shared" si="598"/>
        <v>46309</v>
      </c>
      <c r="CS60" s="52">
        <f t="shared" si="598"/>
        <v>46310</v>
      </c>
      <c r="CT60" s="53">
        <f t="shared" si="598"/>
        <v>46311</v>
      </c>
      <c r="CU60" s="51">
        <f t="shared" si="35"/>
        <v>46314</v>
      </c>
      <c r="CV60" s="52">
        <f t="shared" si="599"/>
        <v>46315</v>
      </c>
      <c r="CW60" s="52">
        <f t="shared" si="599"/>
        <v>46316</v>
      </c>
      <c r="CX60" s="52">
        <f t="shared" si="599"/>
        <v>46317</v>
      </c>
      <c r="CY60" s="53">
        <f t="shared" si="599"/>
        <v>46318</v>
      </c>
      <c r="CZ60" s="51">
        <f t="shared" si="37"/>
        <v>46321</v>
      </c>
      <c r="DA60" s="52">
        <f t="shared" si="600"/>
        <v>46322</v>
      </c>
      <c r="DB60" s="52">
        <f t="shared" si="600"/>
        <v>46323</v>
      </c>
      <c r="DC60" s="52">
        <f t="shared" si="600"/>
        <v>46324</v>
      </c>
      <c r="DD60" s="53">
        <f t="shared" si="600"/>
        <v>46325</v>
      </c>
      <c r="DE60" s="51">
        <f t="shared" si="39"/>
        <v>46328</v>
      </c>
      <c r="DF60" s="52">
        <f t="shared" si="601"/>
        <v>46329</v>
      </c>
      <c r="DG60" s="52">
        <f t="shared" si="601"/>
        <v>46330</v>
      </c>
      <c r="DH60" s="52">
        <f t="shared" si="601"/>
        <v>46331</v>
      </c>
      <c r="DI60" s="53">
        <f t="shared" si="601"/>
        <v>46332</v>
      </c>
      <c r="DJ60" s="51">
        <f t="shared" si="41"/>
        <v>46335</v>
      </c>
      <c r="DK60" s="52">
        <f t="shared" si="602"/>
        <v>46336</v>
      </c>
      <c r="DL60" s="52">
        <f t="shared" si="602"/>
        <v>46337</v>
      </c>
      <c r="DM60" s="52">
        <f t="shared" si="602"/>
        <v>46338</v>
      </c>
      <c r="DN60" s="53">
        <f t="shared" si="602"/>
        <v>46339</v>
      </c>
      <c r="DO60" s="51">
        <f t="shared" si="43"/>
        <v>46342</v>
      </c>
      <c r="DP60" s="52">
        <f t="shared" si="603"/>
        <v>46343</v>
      </c>
      <c r="DQ60" s="52">
        <f t="shared" si="603"/>
        <v>46344</v>
      </c>
      <c r="DR60" s="52">
        <f t="shared" si="603"/>
        <v>46345</v>
      </c>
      <c r="DS60" s="53">
        <f t="shared" si="603"/>
        <v>46346</v>
      </c>
      <c r="DT60" s="51">
        <f t="shared" si="45"/>
        <v>46349</v>
      </c>
      <c r="DU60" s="52">
        <f t="shared" si="604"/>
        <v>46350</v>
      </c>
      <c r="DV60" s="52">
        <f t="shared" si="604"/>
        <v>46351</v>
      </c>
      <c r="DW60" s="52">
        <f t="shared" si="604"/>
        <v>46352</v>
      </c>
      <c r="DX60" s="53">
        <f t="shared" si="604"/>
        <v>46353</v>
      </c>
      <c r="DY60" s="51">
        <f t="shared" si="47"/>
        <v>46356</v>
      </c>
      <c r="DZ60" s="52">
        <f t="shared" si="605"/>
        <v>46357</v>
      </c>
      <c r="EA60" s="52">
        <f t="shared" si="605"/>
        <v>46358</v>
      </c>
      <c r="EB60" s="52">
        <f t="shared" si="605"/>
        <v>46359</v>
      </c>
      <c r="EC60" s="53">
        <f t="shared" si="605"/>
        <v>46360</v>
      </c>
      <c r="ED60" s="51">
        <f t="shared" si="49"/>
        <v>46363</v>
      </c>
      <c r="EE60" s="52">
        <f t="shared" si="606"/>
        <v>46364</v>
      </c>
      <c r="EF60" s="52">
        <f t="shared" si="606"/>
        <v>46365</v>
      </c>
      <c r="EG60" s="52">
        <f t="shared" si="606"/>
        <v>46366</v>
      </c>
      <c r="EH60" s="53">
        <f t="shared" si="606"/>
        <v>46367</v>
      </c>
      <c r="EI60" s="51">
        <f t="shared" si="51"/>
        <v>46370</v>
      </c>
      <c r="EJ60" s="52">
        <f t="shared" si="607"/>
        <v>46371</v>
      </c>
      <c r="EK60" s="52">
        <f t="shared" si="607"/>
        <v>46372</v>
      </c>
      <c r="EL60" s="52">
        <f t="shared" si="607"/>
        <v>46373</v>
      </c>
      <c r="EM60" s="53">
        <f t="shared" si="607"/>
        <v>46374</v>
      </c>
      <c r="EN60" s="51">
        <f t="shared" si="53"/>
        <v>46377</v>
      </c>
      <c r="EO60" s="52">
        <f t="shared" si="608"/>
        <v>46378</v>
      </c>
      <c r="EP60" s="52">
        <f t="shared" si="608"/>
        <v>46379</v>
      </c>
      <c r="EQ60" s="52">
        <f t="shared" si="608"/>
        <v>46380</v>
      </c>
      <c r="ER60" s="53">
        <f t="shared" si="608"/>
        <v>46381</v>
      </c>
      <c r="ES60" s="51">
        <f t="shared" si="55"/>
        <v>46384</v>
      </c>
      <c r="ET60" s="52">
        <f t="shared" si="609"/>
        <v>46385</v>
      </c>
      <c r="EU60" s="52">
        <f t="shared" si="609"/>
        <v>46386</v>
      </c>
      <c r="EV60" s="52">
        <f t="shared" si="609"/>
        <v>46387</v>
      </c>
      <c r="EW60" s="53">
        <f t="shared" si="609"/>
        <v>46388</v>
      </c>
      <c r="EX60" s="51">
        <f t="shared" si="57"/>
        <v>46391</v>
      </c>
      <c r="EY60" s="52">
        <f t="shared" ref="EY60:EY61" si="619">EX58+1</f>
        <v>46392</v>
      </c>
      <c r="EZ60" s="52" t="e">
        <f t="shared" ref="EZ60:EZ61" si="620">EY58+1</f>
        <v>#REF!</v>
      </c>
      <c r="FA60" s="52" t="e">
        <f t="shared" ref="FA60:FA61" si="621">EZ58+1</f>
        <v>#REF!</v>
      </c>
      <c r="FB60" s="53" t="e">
        <f t="shared" ref="FB60:FB61" si="622">FA58+1</f>
        <v>#REF!</v>
      </c>
    </row>
    <row r="61" spans="1:158" ht="18" customHeight="1" outlineLevel="2">
      <c r="A61" s="26"/>
      <c r="B61" s="34"/>
      <c r="C61" s="34"/>
      <c r="D61" s="63" t="s">
        <v>113</v>
      </c>
      <c r="E61" s="42"/>
      <c r="F61" s="43"/>
      <c r="G61" s="71" t="s">
        <v>18</v>
      </c>
      <c r="H61" s="71"/>
      <c r="I61" s="71"/>
      <c r="J61" s="72"/>
      <c r="K61" s="73"/>
      <c r="L61" s="74"/>
      <c r="M61" s="46">
        <v>46335</v>
      </c>
      <c r="N61" s="47">
        <v>46339</v>
      </c>
      <c r="O61" s="14">
        <f>5/132/3</f>
        <v>1.2626262626262626E-2</v>
      </c>
      <c r="P61" s="14"/>
      <c r="Q61" s="15"/>
      <c r="R61" s="14"/>
      <c r="S61" s="51">
        <f t="shared" si="30"/>
        <v>46202</v>
      </c>
      <c r="T61" s="52">
        <f t="shared" si="596"/>
        <v>46203</v>
      </c>
      <c r="U61" s="52">
        <f t="shared" si="596"/>
        <v>46204</v>
      </c>
      <c r="V61" s="52">
        <f t="shared" si="596"/>
        <v>46205</v>
      </c>
      <c r="W61" s="53">
        <f t="shared" si="596"/>
        <v>46206</v>
      </c>
      <c r="X61" s="51">
        <v>46209</v>
      </c>
      <c r="Y61" s="52">
        <v>46210</v>
      </c>
      <c r="Z61" s="52">
        <v>46211</v>
      </c>
      <c r="AA61" s="52">
        <v>46212</v>
      </c>
      <c r="AB61" s="53">
        <v>46213</v>
      </c>
      <c r="AC61" s="51">
        <v>46216</v>
      </c>
      <c r="AD61" s="52">
        <v>46217</v>
      </c>
      <c r="AE61" s="52">
        <v>46218</v>
      </c>
      <c r="AF61" s="52">
        <v>46219</v>
      </c>
      <c r="AG61" s="53">
        <v>46220</v>
      </c>
      <c r="AH61" s="51">
        <v>46223</v>
      </c>
      <c r="AI61" s="52">
        <v>46224</v>
      </c>
      <c r="AJ61" s="52">
        <v>46225</v>
      </c>
      <c r="AK61" s="52">
        <v>46226</v>
      </c>
      <c r="AL61" s="53">
        <v>46227</v>
      </c>
      <c r="AM61" s="51">
        <v>46230</v>
      </c>
      <c r="AN61" s="52">
        <v>46231</v>
      </c>
      <c r="AO61" s="52">
        <v>46232</v>
      </c>
      <c r="AP61" s="52">
        <v>46233</v>
      </c>
      <c r="AQ61" s="53">
        <v>46234</v>
      </c>
      <c r="AR61" s="51">
        <v>46237</v>
      </c>
      <c r="AS61" s="52">
        <v>46238</v>
      </c>
      <c r="AT61" s="52">
        <v>46239</v>
      </c>
      <c r="AU61" s="52">
        <v>46240</v>
      </c>
      <c r="AV61" s="53">
        <v>46241</v>
      </c>
      <c r="AW61" s="51">
        <v>46244</v>
      </c>
      <c r="AX61" s="52">
        <v>46245</v>
      </c>
      <c r="AY61" s="52">
        <v>46246</v>
      </c>
      <c r="AZ61" s="52">
        <v>46247</v>
      </c>
      <c r="BA61" s="53">
        <v>46248</v>
      </c>
      <c r="BB61" s="51">
        <v>46251</v>
      </c>
      <c r="BC61" s="52">
        <v>46252</v>
      </c>
      <c r="BD61" s="52">
        <v>46253</v>
      </c>
      <c r="BE61" s="52">
        <v>46254</v>
      </c>
      <c r="BF61" s="53">
        <v>46255</v>
      </c>
      <c r="BG61" s="51">
        <v>46258</v>
      </c>
      <c r="BH61" s="52">
        <v>46259</v>
      </c>
      <c r="BI61" s="52">
        <v>46260</v>
      </c>
      <c r="BJ61" s="52">
        <v>46261</v>
      </c>
      <c r="BK61" s="53">
        <v>46262</v>
      </c>
      <c r="BL61" s="51">
        <v>46265</v>
      </c>
      <c r="BM61" s="52">
        <v>46266</v>
      </c>
      <c r="BN61" s="52">
        <v>46267</v>
      </c>
      <c r="BO61" s="52">
        <v>46268</v>
      </c>
      <c r="BP61" s="53">
        <v>46269</v>
      </c>
      <c r="BQ61" s="51">
        <v>46272</v>
      </c>
      <c r="BR61" s="52">
        <v>46273</v>
      </c>
      <c r="BS61" s="52">
        <v>46274</v>
      </c>
      <c r="BT61" s="52">
        <v>46275</v>
      </c>
      <c r="BU61" s="53">
        <v>46276</v>
      </c>
      <c r="BV61" s="51">
        <v>46279</v>
      </c>
      <c r="BW61" s="52">
        <v>46280</v>
      </c>
      <c r="BX61" s="52">
        <v>46281</v>
      </c>
      <c r="BY61" s="52">
        <v>46282</v>
      </c>
      <c r="BZ61" s="53">
        <v>46283</v>
      </c>
      <c r="CA61" s="51">
        <v>46286</v>
      </c>
      <c r="CB61" s="52">
        <v>46287</v>
      </c>
      <c r="CC61" s="52">
        <v>46288</v>
      </c>
      <c r="CD61" s="52">
        <v>46289</v>
      </c>
      <c r="CE61" s="53">
        <v>46290</v>
      </c>
      <c r="CF61" s="51">
        <v>46293</v>
      </c>
      <c r="CG61" s="52">
        <v>46294</v>
      </c>
      <c r="CH61" s="52">
        <v>46295</v>
      </c>
      <c r="CI61" s="52">
        <v>46296</v>
      </c>
      <c r="CJ61" s="53">
        <v>46297</v>
      </c>
      <c r="CK61" s="51">
        <f t="shared" si="32"/>
        <v>46300</v>
      </c>
      <c r="CL61" s="52">
        <f t="shared" si="597"/>
        <v>46301</v>
      </c>
      <c r="CM61" s="52">
        <f t="shared" si="597"/>
        <v>46302</v>
      </c>
      <c r="CN61" s="52">
        <f t="shared" si="597"/>
        <v>46303</v>
      </c>
      <c r="CO61" s="53">
        <f t="shared" si="597"/>
        <v>46304</v>
      </c>
      <c r="CP61" s="51">
        <f t="shared" si="61"/>
        <v>46307</v>
      </c>
      <c r="CQ61" s="52">
        <f t="shared" si="598"/>
        <v>46308</v>
      </c>
      <c r="CR61" s="52">
        <f t="shared" si="598"/>
        <v>46309</v>
      </c>
      <c r="CS61" s="52">
        <f t="shared" si="598"/>
        <v>46310</v>
      </c>
      <c r="CT61" s="53">
        <f t="shared" si="598"/>
        <v>46311</v>
      </c>
      <c r="CU61" s="51">
        <f t="shared" si="35"/>
        <v>46314</v>
      </c>
      <c r="CV61" s="52">
        <f t="shared" si="599"/>
        <v>46315</v>
      </c>
      <c r="CW61" s="52">
        <f t="shared" si="599"/>
        <v>46316</v>
      </c>
      <c r="CX61" s="52">
        <f t="shared" si="599"/>
        <v>46317</v>
      </c>
      <c r="CY61" s="53">
        <f t="shared" si="599"/>
        <v>46318</v>
      </c>
      <c r="CZ61" s="51">
        <f t="shared" si="37"/>
        <v>46321</v>
      </c>
      <c r="DA61" s="52">
        <f t="shared" si="600"/>
        <v>46322</v>
      </c>
      <c r="DB61" s="52">
        <f t="shared" si="600"/>
        <v>46323</v>
      </c>
      <c r="DC61" s="52">
        <f t="shared" si="600"/>
        <v>46324</v>
      </c>
      <c r="DD61" s="53">
        <f t="shared" si="600"/>
        <v>46325</v>
      </c>
      <c r="DE61" s="51">
        <f t="shared" si="39"/>
        <v>46328</v>
      </c>
      <c r="DF61" s="52">
        <f t="shared" si="601"/>
        <v>46329</v>
      </c>
      <c r="DG61" s="52">
        <f t="shared" si="601"/>
        <v>46330</v>
      </c>
      <c r="DH61" s="52">
        <f t="shared" si="601"/>
        <v>46331</v>
      </c>
      <c r="DI61" s="53">
        <f t="shared" si="601"/>
        <v>46332</v>
      </c>
      <c r="DJ61" s="51">
        <f t="shared" si="41"/>
        <v>46335</v>
      </c>
      <c r="DK61" s="52">
        <f t="shared" si="602"/>
        <v>46336</v>
      </c>
      <c r="DL61" s="52">
        <f t="shared" si="602"/>
        <v>46337</v>
      </c>
      <c r="DM61" s="52">
        <f t="shared" si="602"/>
        <v>46338</v>
      </c>
      <c r="DN61" s="53">
        <f t="shared" si="602"/>
        <v>46339</v>
      </c>
      <c r="DO61" s="51">
        <f t="shared" si="43"/>
        <v>46342</v>
      </c>
      <c r="DP61" s="52">
        <f t="shared" si="603"/>
        <v>46343</v>
      </c>
      <c r="DQ61" s="52">
        <f t="shared" si="603"/>
        <v>46344</v>
      </c>
      <c r="DR61" s="52">
        <f t="shared" si="603"/>
        <v>46345</v>
      </c>
      <c r="DS61" s="53">
        <f t="shared" si="603"/>
        <v>46346</v>
      </c>
      <c r="DT61" s="51">
        <f t="shared" si="45"/>
        <v>46349</v>
      </c>
      <c r="DU61" s="52">
        <f t="shared" si="604"/>
        <v>46350</v>
      </c>
      <c r="DV61" s="52">
        <f t="shared" si="604"/>
        <v>46351</v>
      </c>
      <c r="DW61" s="52">
        <f t="shared" si="604"/>
        <v>46352</v>
      </c>
      <c r="DX61" s="53">
        <f t="shared" si="604"/>
        <v>46353</v>
      </c>
      <c r="DY61" s="51">
        <f t="shared" si="47"/>
        <v>46356</v>
      </c>
      <c r="DZ61" s="52">
        <f t="shared" si="605"/>
        <v>46357</v>
      </c>
      <c r="EA61" s="52">
        <f t="shared" si="605"/>
        <v>46358</v>
      </c>
      <c r="EB61" s="52">
        <f t="shared" si="605"/>
        <v>46359</v>
      </c>
      <c r="EC61" s="53">
        <f t="shared" si="605"/>
        <v>46360</v>
      </c>
      <c r="ED61" s="51">
        <f t="shared" si="49"/>
        <v>46363</v>
      </c>
      <c r="EE61" s="52">
        <f t="shared" si="606"/>
        <v>46364</v>
      </c>
      <c r="EF61" s="52">
        <f t="shared" si="606"/>
        <v>46365</v>
      </c>
      <c r="EG61" s="52">
        <f t="shared" si="606"/>
        <v>46366</v>
      </c>
      <c r="EH61" s="53">
        <f t="shared" si="606"/>
        <v>46367</v>
      </c>
      <c r="EI61" s="51">
        <f t="shared" si="51"/>
        <v>46370</v>
      </c>
      <c r="EJ61" s="52">
        <f t="shared" si="607"/>
        <v>46371</v>
      </c>
      <c r="EK61" s="52">
        <f t="shared" si="607"/>
        <v>46372</v>
      </c>
      <c r="EL61" s="52">
        <f t="shared" si="607"/>
        <v>46373</v>
      </c>
      <c r="EM61" s="53">
        <f t="shared" si="607"/>
        <v>46374</v>
      </c>
      <c r="EN61" s="51">
        <f t="shared" si="53"/>
        <v>46377</v>
      </c>
      <c r="EO61" s="52">
        <f t="shared" si="608"/>
        <v>46378</v>
      </c>
      <c r="EP61" s="52">
        <f t="shared" si="608"/>
        <v>46379</v>
      </c>
      <c r="EQ61" s="52">
        <f t="shared" si="608"/>
        <v>46380</v>
      </c>
      <c r="ER61" s="53">
        <f t="shared" si="608"/>
        <v>46381</v>
      </c>
      <c r="ES61" s="51">
        <f t="shared" si="55"/>
        <v>46384</v>
      </c>
      <c r="ET61" s="52">
        <f t="shared" si="609"/>
        <v>46385</v>
      </c>
      <c r="EU61" s="52">
        <f t="shared" si="609"/>
        <v>46386</v>
      </c>
      <c r="EV61" s="52">
        <f t="shared" si="609"/>
        <v>46387</v>
      </c>
      <c r="EW61" s="53">
        <f t="shared" si="609"/>
        <v>46388</v>
      </c>
      <c r="EX61" s="51">
        <f t="shared" si="57"/>
        <v>46391</v>
      </c>
      <c r="EY61" s="52">
        <f t="shared" si="619"/>
        <v>46392</v>
      </c>
      <c r="EZ61" s="52">
        <f t="shared" si="620"/>
        <v>46393</v>
      </c>
      <c r="FA61" s="52" t="e">
        <f t="shared" si="621"/>
        <v>#REF!</v>
      </c>
      <c r="FB61" s="53" t="e">
        <f t="shared" si="622"/>
        <v>#REF!</v>
      </c>
    </row>
    <row r="62" spans="1:158" ht="17.25" customHeight="1" outlineLevel="1">
      <c r="A62" s="26"/>
      <c r="B62" s="34"/>
      <c r="C62" s="57" t="s">
        <v>131</v>
      </c>
      <c r="D62" s="36"/>
      <c r="E62" s="37"/>
      <c r="F62" s="38"/>
      <c r="G62" s="59" t="s">
        <v>126</v>
      </c>
      <c r="H62" s="67"/>
      <c r="I62" s="67"/>
      <c r="J62" s="68"/>
      <c r="K62" s="69"/>
      <c r="L62" s="70" t="s">
        <v>119</v>
      </c>
      <c r="M62" s="104">
        <v>46345</v>
      </c>
      <c r="N62" s="105">
        <v>46345</v>
      </c>
      <c r="O62" s="13">
        <f>3/132/1.5</f>
        <v>1.5151515151515152E-2</v>
      </c>
      <c r="P62" s="109"/>
      <c r="Q62" s="109"/>
      <c r="R62" s="109"/>
      <c r="S62" s="106">
        <f t="shared" si="30"/>
        <v>46202</v>
      </c>
      <c r="T62" s="107">
        <f t="shared" si="596"/>
        <v>46203</v>
      </c>
      <c r="U62" s="107">
        <f t="shared" si="596"/>
        <v>46204</v>
      </c>
      <c r="V62" s="107">
        <f t="shared" si="596"/>
        <v>46205</v>
      </c>
      <c r="W62" s="108">
        <f t="shared" si="596"/>
        <v>46206</v>
      </c>
      <c r="X62" s="106">
        <v>46209</v>
      </c>
      <c r="Y62" s="107">
        <v>46210</v>
      </c>
      <c r="Z62" s="107">
        <v>46211</v>
      </c>
      <c r="AA62" s="107">
        <v>46212</v>
      </c>
      <c r="AB62" s="108">
        <v>46213</v>
      </c>
      <c r="AC62" s="106">
        <v>46216</v>
      </c>
      <c r="AD62" s="107">
        <v>46217</v>
      </c>
      <c r="AE62" s="107">
        <v>46218</v>
      </c>
      <c r="AF62" s="107">
        <v>46219</v>
      </c>
      <c r="AG62" s="108">
        <v>46220</v>
      </c>
      <c r="AH62" s="106">
        <v>46223</v>
      </c>
      <c r="AI62" s="107">
        <v>46224</v>
      </c>
      <c r="AJ62" s="107">
        <v>46225</v>
      </c>
      <c r="AK62" s="107">
        <v>46226</v>
      </c>
      <c r="AL62" s="108">
        <v>46227</v>
      </c>
      <c r="AM62" s="106">
        <v>46230</v>
      </c>
      <c r="AN62" s="107">
        <v>46231</v>
      </c>
      <c r="AO62" s="107">
        <v>46232</v>
      </c>
      <c r="AP62" s="107">
        <v>46233</v>
      </c>
      <c r="AQ62" s="108">
        <v>46234</v>
      </c>
      <c r="AR62" s="106">
        <v>46237</v>
      </c>
      <c r="AS62" s="107">
        <v>46238</v>
      </c>
      <c r="AT62" s="107">
        <v>46239</v>
      </c>
      <c r="AU62" s="107">
        <v>46240</v>
      </c>
      <c r="AV62" s="108">
        <v>46241</v>
      </c>
      <c r="AW62" s="106">
        <v>46244</v>
      </c>
      <c r="AX62" s="107">
        <v>46245</v>
      </c>
      <c r="AY62" s="107">
        <v>46246</v>
      </c>
      <c r="AZ62" s="107">
        <v>46247</v>
      </c>
      <c r="BA62" s="108">
        <v>46248</v>
      </c>
      <c r="BB62" s="106">
        <v>46251</v>
      </c>
      <c r="BC62" s="107">
        <v>46252</v>
      </c>
      <c r="BD62" s="107">
        <v>46253</v>
      </c>
      <c r="BE62" s="107">
        <v>46254</v>
      </c>
      <c r="BF62" s="108">
        <v>46255</v>
      </c>
      <c r="BG62" s="106">
        <v>46258</v>
      </c>
      <c r="BH62" s="107">
        <v>46259</v>
      </c>
      <c r="BI62" s="107">
        <v>46260</v>
      </c>
      <c r="BJ62" s="107">
        <v>46261</v>
      </c>
      <c r="BK62" s="108">
        <v>46262</v>
      </c>
      <c r="BL62" s="106">
        <v>46265</v>
      </c>
      <c r="BM62" s="107">
        <v>46266</v>
      </c>
      <c r="BN62" s="107">
        <v>46267</v>
      </c>
      <c r="BO62" s="107">
        <v>46268</v>
      </c>
      <c r="BP62" s="108">
        <v>46269</v>
      </c>
      <c r="BQ62" s="106">
        <v>46272</v>
      </c>
      <c r="BR62" s="107">
        <v>46273</v>
      </c>
      <c r="BS62" s="107">
        <v>46274</v>
      </c>
      <c r="BT62" s="107">
        <v>46275</v>
      </c>
      <c r="BU62" s="108">
        <v>46276</v>
      </c>
      <c r="BV62" s="106">
        <v>46279</v>
      </c>
      <c r="BW62" s="107">
        <v>46280</v>
      </c>
      <c r="BX62" s="107">
        <v>46281</v>
      </c>
      <c r="BY62" s="107">
        <v>46282</v>
      </c>
      <c r="BZ62" s="108">
        <v>46283</v>
      </c>
      <c r="CA62" s="106">
        <v>46286</v>
      </c>
      <c r="CB62" s="107">
        <v>46287</v>
      </c>
      <c r="CC62" s="107">
        <v>46288</v>
      </c>
      <c r="CD62" s="107">
        <v>46289</v>
      </c>
      <c r="CE62" s="108">
        <v>46290</v>
      </c>
      <c r="CF62" s="106">
        <v>46293</v>
      </c>
      <c r="CG62" s="107">
        <v>46294</v>
      </c>
      <c r="CH62" s="107">
        <v>46295</v>
      </c>
      <c r="CI62" s="107">
        <v>46296</v>
      </c>
      <c r="CJ62" s="108">
        <v>46297</v>
      </c>
      <c r="CK62" s="106">
        <f t="shared" si="32"/>
        <v>46300</v>
      </c>
      <c r="CL62" s="107">
        <f t="shared" si="597"/>
        <v>46301</v>
      </c>
      <c r="CM62" s="107">
        <f t="shared" si="597"/>
        <v>46302</v>
      </c>
      <c r="CN62" s="107">
        <f t="shared" si="597"/>
        <v>46303</v>
      </c>
      <c r="CO62" s="108">
        <f t="shared" si="597"/>
        <v>46304</v>
      </c>
      <c r="CP62" s="106">
        <f t="shared" si="61"/>
        <v>46307</v>
      </c>
      <c r="CQ62" s="107">
        <f t="shared" si="598"/>
        <v>46308</v>
      </c>
      <c r="CR62" s="107">
        <f t="shared" si="598"/>
        <v>46309</v>
      </c>
      <c r="CS62" s="107">
        <f t="shared" si="598"/>
        <v>46310</v>
      </c>
      <c r="CT62" s="108">
        <f t="shared" si="598"/>
        <v>46311</v>
      </c>
      <c r="CU62" s="106">
        <f t="shared" si="35"/>
        <v>46314</v>
      </c>
      <c r="CV62" s="107">
        <f t="shared" si="599"/>
        <v>46315</v>
      </c>
      <c r="CW62" s="107">
        <f t="shared" si="599"/>
        <v>46316</v>
      </c>
      <c r="CX62" s="107">
        <f t="shared" si="599"/>
        <v>46317</v>
      </c>
      <c r="CY62" s="108">
        <f t="shared" si="599"/>
        <v>46318</v>
      </c>
      <c r="CZ62" s="106">
        <f t="shared" si="37"/>
        <v>46321</v>
      </c>
      <c r="DA62" s="107">
        <f t="shared" si="600"/>
        <v>46322</v>
      </c>
      <c r="DB62" s="107">
        <f t="shared" si="600"/>
        <v>46323</v>
      </c>
      <c r="DC62" s="107">
        <f t="shared" si="600"/>
        <v>46324</v>
      </c>
      <c r="DD62" s="108">
        <f t="shared" si="600"/>
        <v>46325</v>
      </c>
      <c r="DE62" s="106">
        <f t="shared" si="39"/>
        <v>46328</v>
      </c>
      <c r="DF62" s="107">
        <f t="shared" si="601"/>
        <v>46329</v>
      </c>
      <c r="DG62" s="107">
        <f t="shared" si="601"/>
        <v>46330</v>
      </c>
      <c r="DH62" s="107">
        <f t="shared" si="601"/>
        <v>46331</v>
      </c>
      <c r="DI62" s="108">
        <f t="shared" si="601"/>
        <v>46332</v>
      </c>
      <c r="DJ62" s="106">
        <f t="shared" si="41"/>
        <v>46335</v>
      </c>
      <c r="DK62" s="107">
        <f t="shared" si="602"/>
        <v>46336</v>
      </c>
      <c r="DL62" s="107">
        <f t="shared" si="602"/>
        <v>46337</v>
      </c>
      <c r="DM62" s="107">
        <f t="shared" si="602"/>
        <v>46338</v>
      </c>
      <c r="DN62" s="108">
        <f t="shared" si="602"/>
        <v>46339</v>
      </c>
      <c r="DO62" s="106">
        <f t="shared" si="43"/>
        <v>46342</v>
      </c>
      <c r="DP62" s="107">
        <f t="shared" si="603"/>
        <v>46343</v>
      </c>
      <c r="DQ62" s="107">
        <f t="shared" si="603"/>
        <v>46344</v>
      </c>
      <c r="DR62" s="107">
        <f t="shared" si="603"/>
        <v>46345</v>
      </c>
      <c r="DS62" s="108">
        <f t="shared" si="603"/>
        <v>46346</v>
      </c>
      <c r="DT62" s="106">
        <f t="shared" si="45"/>
        <v>46349</v>
      </c>
      <c r="DU62" s="107">
        <f t="shared" si="604"/>
        <v>46350</v>
      </c>
      <c r="DV62" s="107">
        <f t="shared" si="604"/>
        <v>46351</v>
      </c>
      <c r="DW62" s="107">
        <f t="shared" si="604"/>
        <v>46352</v>
      </c>
      <c r="DX62" s="108">
        <f t="shared" si="604"/>
        <v>46353</v>
      </c>
      <c r="DY62" s="106">
        <f t="shared" si="47"/>
        <v>46356</v>
      </c>
      <c r="DZ62" s="107">
        <f t="shared" si="605"/>
        <v>46357</v>
      </c>
      <c r="EA62" s="107">
        <f t="shared" si="605"/>
        <v>46358</v>
      </c>
      <c r="EB62" s="107">
        <f t="shared" si="605"/>
        <v>46359</v>
      </c>
      <c r="EC62" s="108">
        <f t="shared" si="605"/>
        <v>46360</v>
      </c>
      <c r="ED62" s="106">
        <f t="shared" si="49"/>
        <v>46363</v>
      </c>
      <c r="EE62" s="107">
        <f t="shared" si="606"/>
        <v>46364</v>
      </c>
      <c r="EF62" s="107">
        <f t="shared" si="606"/>
        <v>46365</v>
      </c>
      <c r="EG62" s="107">
        <f t="shared" si="606"/>
        <v>46366</v>
      </c>
      <c r="EH62" s="108">
        <f t="shared" si="606"/>
        <v>46367</v>
      </c>
      <c r="EI62" s="106">
        <f t="shared" si="51"/>
        <v>46370</v>
      </c>
      <c r="EJ62" s="107">
        <f t="shared" si="607"/>
        <v>46371</v>
      </c>
      <c r="EK62" s="107">
        <f t="shared" si="607"/>
        <v>46372</v>
      </c>
      <c r="EL62" s="107">
        <f t="shared" si="607"/>
        <v>46373</v>
      </c>
      <c r="EM62" s="108">
        <f t="shared" si="607"/>
        <v>46374</v>
      </c>
      <c r="EN62" s="106">
        <f t="shared" si="53"/>
        <v>46377</v>
      </c>
      <c r="EO62" s="107">
        <f t="shared" si="608"/>
        <v>46378</v>
      </c>
      <c r="EP62" s="107">
        <f t="shared" si="608"/>
        <v>46379</v>
      </c>
      <c r="EQ62" s="107">
        <f t="shared" si="608"/>
        <v>46380</v>
      </c>
      <c r="ER62" s="108">
        <f t="shared" si="608"/>
        <v>46381</v>
      </c>
      <c r="ES62" s="106">
        <f t="shared" si="55"/>
        <v>46384</v>
      </c>
      <c r="ET62" s="107">
        <f t="shared" si="609"/>
        <v>46385</v>
      </c>
      <c r="EU62" s="107">
        <f t="shared" si="609"/>
        <v>46386</v>
      </c>
      <c r="EV62" s="107">
        <f t="shared" si="609"/>
        <v>46387</v>
      </c>
      <c r="EW62" s="108">
        <f t="shared" si="609"/>
        <v>46388</v>
      </c>
      <c r="EX62" s="106">
        <f t="shared" si="57"/>
        <v>46391</v>
      </c>
      <c r="EY62" s="107">
        <f t="shared" ref="EY62" si="623">EX61+1</f>
        <v>46392</v>
      </c>
      <c r="EZ62" s="107">
        <f t="shared" ref="EZ62" si="624">EY61+1</f>
        <v>46393</v>
      </c>
      <c r="FA62" s="107">
        <f t="shared" ref="FA62" si="625">EZ61+1</f>
        <v>46394</v>
      </c>
      <c r="FB62" s="108" t="e">
        <f t="shared" ref="FB62" si="626">FA61+1</f>
        <v>#REF!</v>
      </c>
    </row>
    <row r="63" spans="1:158" ht="23.25" customHeight="1">
      <c r="A63" s="92"/>
      <c r="B63" s="93" t="s">
        <v>133</v>
      </c>
      <c r="C63" s="94"/>
      <c r="D63" s="95"/>
      <c r="E63" s="96"/>
      <c r="F63" s="97"/>
      <c r="G63" s="98"/>
      <c r="H63" s="99"/>
      <c r="I63" s="99"/>
      <c r="J63" s="100"/>
      <c r="K63" s="101"/>
      <c r="L63" s="101"/>
      <c r="M63" s="102">
        <f>MIN(M64:M70)</f>
        <v>46342</v>
      </c>
      <c r="N63" s="103">
        <f>MAX(N64:N70)</f>
        <v>46387</v>
      </c>
      <c r="O63" s="25">
        <f>O64+O67</f>
        <v>9.5959595959595967E-2</v>
      </c>
      <c r="P63" s="25"/>
      <c r="Q63" s="25"/>
      <c r="R63" s="25"/>
      <c r="S63" s="51">
        <f t="shared" si="30"/>
        <v>46202</v>
      </c>
      <c r="T63" s="52">
        <f t="shared" ref="T63:W63" si="627">S63+1</f>
        <v>46203</v>
      </c>
      <c r="U63" s="52">
        <f t="shared" si="627"/>
        <v>46204</v>
      </c>
      <c r="V63" s="52">
        <f t="shared" si="627"/>
        <v>46205</v>
      </c>
      <c r="W63" s="53">
        <f t="shared" si="627"/>
        <v>46206</v>
      </c>
      <c r="X63" s="51">
        <v>46209</v>
      </c>
      <c r="Y63" s="52">
        <v>46210</v>
      </c>
      <c r="Z63" s="52">
        <v>46211</v>
      </c>
      <c r="AA63" s="52">
        <v>46212</v>
      </c>
      <c r="AB63" s="53">
        <v>46213</v>
      </c>
      <c r="AC63" s="51">
        <v>46216</v>
      </c>
      <c r="AD63" s="52">
        <v>46217</v>
      </c>
      <c r="AE63" s="52">
        <v>46218</v>
      </c>
      <c r="AF63" s="52">
        <v>46219</v>
      </c>
      <c r="AG63" s="53">
        <v>46220</v>
      </c>
      <c r="AH63" s="51">
        <v>46223</v>
      </c>
      <c r="AI63" s="52">
        <v>46224</v>
      </c>
      <c r="AJ63" s="52">
        <v>46225</v>
      </c>
      <c r="AK63" s="52">
        <v>46226</v>
      </c>
      <c r="AL63" s="53">
        <v>46227</v>
      </c>
      <c r="AM63" s="51">
        <v>46230</v>
      </c>
      <c r="AN63" s="52">
        <v>46231</v>
      </c>
      <c r="AO63" s="52">
        <v>46232</v>
      </c>
      <c r="AP63" s="52">
        <v>46233</v>
      </c>
      <c r="AQ63" s="53">
        <v>46234</v>
      </c>
      <c r="AR63" s="51">
        <v>46237</v>
      </c>
      <c r="AS63" s="52">
        <v>46238</v>
      </c>
      <c r="AT63" s="52">
        <v>46239</v>
      </c>
      <c r="AU63" s="52">
        <v>46240</v>
      </c>
      <c r="AV63" s="53">
        <v>46241</v>
      </c>
      <c r="AW63" s="51">
        <v>46244</v>
      </c>
      <c r="AX63" s="52">
        <v>46245</v>
      </c>
      <c r="AY63" s="52">
        <v>46246</v>
      </c>
      <c r="AZ63" s="52">
        <v>46247</v>
      </c>
      <c r="BA63" s="53">
        <v>46248</v>
      </c>
      <c r="BB63" s="51">
        <v>46251</v>
      </c>
      <c r="BC63" s="52">
        <v>46252</v>
      </c>
      <c r="BD63" s="52">
        <v>46253</v>
      </c>
      <c r="BE63" s="52">
        <v>46254</v>
      </c>
      <c r="BF63" s="53">
        <v>46255</v>
      </c>
      <c r="BG63" s="51">
        <v>46258</v>
      </c>
      <c r="BH63" s="52">
        <v>46259</v>
      </c>
      <c r="BI63" s="52">
        <v>46260</v>
      </c>
      <c r="BJ63" s="52">
        <v>46261</v>
      </c>
      <c r="BK63" s="53">
        <v>46262</v>
      </c>
      <c r="BL63" s="51">
        <v>46265</v>
      </c>
      <c r="BM63" s="52">
        <v>46266</v>
      </c>
      <c r="BN63" s="52">
        <v>46267</v>
      </c>
      <c r="BO63" s="52">
        <v>46268</v>
      </c>
      <c r="BP63" s="53">
        <v>46269</v>
      </c>
      <c r="BQ63" s="51">
        <v>46272</v>
      </c>
      <c r="BR63" s="52">
        <v>46273</v>
      </c>
      <c r="BS63" s="52">
        <v>46274</v>
      </c>
      <c r="BT63" s="52">
        <v>46275</v>
      </c>
      <c r="BU63" s="53">
        <v>46276</v>
      </c>
      <c r="BV63" s="51">
        <v>46279</v>
      </c>
      <c r="BW63" s="52">
        <v>46280</v>
      </c>
      <c r="BX63" s="52">
        <v>46281</v>
      </c>
      <c r="BY63" s="52">
        <v>46282</v>
      </c>
      <c r="BZ63" s="53">
        <v>46283</v>
      </c>
      <c r="CA63" s="51">
        <v>46286</v>
      </c>
      <c r="CB63" s="52">
        <v>46287</v>
      </c>
      <c r="CC63" s="52">
        <v>46288</v>
      </c>
      <c r="CD63" s="52">
        <v>46289</v>
      </c>
      <c r="CE63" s="53">
        <v>46290</v>
      </c>
      <c r="CF63" s="51">
        <v>46293</v>
      </c>
      <c r="CG63" s="52">
        <v>46294</v>
      </c>
      <c r="CH63" s="52">
        <v>46295</v>
      </c>
      <c r="CI63" s="52">
        <v>46296</v>
      </c>
      <c r="CJ63" s="53">
        <v>46297</v>
      </c>
      <c r="CK63" s="51">
        <f t="shared" si="32"/>
        <v>46300</v>
      </c>
      <c r="CL63" s="52">
        <f t="shared" ref="CL63:CO63" si="628">CK63+1</f>
        <v>46301</v>
      </c>
      <c r="CM63" s="52">
        <f t="shared" si="628"/>
        <v>46302</v>
      </c>
      <c r="CN63" s="52">
        <f t="shared" si="628"/>
        <v>46303</v>
      </c>
      <c r="CO63" s="53">
        <f t="shared" si="628"/>
        <v>46304</v>
      </c>
      <c r="CP63" s="51">
        <f t="shared" si="61"/>
        <v>46307</v>
      </c>
      <c r="CQ63" s="52">
        <f t="shared" ref="CQ63:CT63" si="629">CP63+1</f>
        <v>46308</v>
      </c>
      <c r="CR63" s="52">
        <f t="shared" si="629"/>
        <v>46309</v>
      </c>
      <c r="CS63" s="52">
        <f t="shared" si="629"/>
        <v>46310</v>
      </c>
      <c r="CT63" s="53">
        <f t="shared" si="629"/>
        <v>46311</v>
      </c>
      <c r="CU63" s="51">
        <f t="shared" si="35"/>
        <v>46314</v>
      </c>
      <c r="CV63" s="52">
        <f t="shared" ref="CV63:CY63" si="630">CU63+1</f>
        <v>46315</v>
      </c>
      <c r="CW63" s="52">
        <f t="shared" si="630"/>
        <v>46316</v>
      </c>
      <c r="CX63" s="52">
        <f t="shared" si="630"/>
        <v>46317</v>
      </c>
      <c r="CY63" s="53">
        <f t="shared" si="630"/>
        <v>46318</v>
      </c>
      <c r="CZ63" s="51">
        <f t="shared" si="37"/>
        <v>46321</v>
      </c>
      <c r="DA63" s="52">
        <f t="shared" ref="DA63:DD63" si="631">CZ63+1</f>
        <v>46322</v>
      </c>
      <c r="DB63" s="52">
        <f t="shared" si="631"/>
        <v>46323</v>
      </c>
      <c r="DC63" s="52">
        <f t="shared" si="631"/>
        <v>46324</v>
      </c>
      <c r="DD63" s="53">
        <f t="shared" si="631"/>
        <v>46325</v>
      </c>
      <c r="DE63" s="51">
        <f t="shared" si="39"/>
        <v>46328</v>
      </c>
      <c r="DF63" s="52">
        <f t="shared" ref="DF63:DI63" si="632">DE63+1</f>
        <v>46329</v>
      </c>
      <c r="DG63" s="52">
        <f t="shared" si="632"/>
        <v>46330</v>
      </c>
      <c r="DH63" s="52">
        <f t="shared" si="632"/>
        <v>46331</v>
      </c>
      <c r="DI63" s="53">
        <f t="shared" si="632"/>
        <v>46332</v>
      </c>
      <c r="DJ63" s="51">
        <f t="shared" si="41"/>
        <v>46335</v>
      </c>
      <c r="DK63" s="52">
        <f t="shared" ref="DK63:DN63" si="633">DJ63+1</f>
        <v>46336</v>
      </c>
      <c r="DL63" s="52">
        <f t="shared" si="633"/>
        <v>46337</v>
      </c>
      <c r="DM63" s="52">
        <f t="shared" si="633"/>
        <v>46338</v>
      </c>
      <c r="DN63" s="53">
        <f t="shared" si="633"/>
        <v>46339</v>
      </c>
      <c r="DO63" s="51">
        <f t="shared" si="43"/>
        <v>46342</v>
      </c>
      <c r="DP63" s="52">
        <f t="shared" ref="DP63:DS63" si="634">DO63+1</f>
        <v>46343</v>
      </c>
      <c r="DQ63" s="52">
        <f t="shared" si="634"/>
        <v>46344</v>
      </c>
      <c r="DR63" s="52">
        <f t="shared" si="634"/>
        <v>46345</v>
      </c>
      <c r="DS63" s="53">
        <f t="shared" si="634"/>
        <v>46346</v>
      </c>
      <c r="DT63" s="51">
        <f t="shared" si="45"/>
        <v>46349</v>
      </c>
      <c r="DU63" s="52">
        <f t="shared" ref="DU63:DX63" si="635">DT63+1</f>
        <v>46350</v>
      </c>
      <c r="DV63" s="52">
        <f t="shared" si="635"/>
        <v>46351</v>
      </c>
      <c r="DW63" s="52">
        <f t="shared" si="635"/>
        <v>46352</v>
      </c>
      <c r="DX63" s="53">
        <f t="shared" si="635"/>
        <v>46353</v>
      </c>
      <c r="DY63" s="51">
        <f t="shared" si="47"/>
        <v>46356</v>
      </c>
      <c r="DZ63" s="52">
        <f t="shared" ref="DZ63:EC63" si="636">DY63+1</f>
        <v>46357</v>
      </c>
      <c r="EA63" s="52">
        <f t="shared" si="636"/>
        <v>46358</v>
      </c>
      <c r="EB63" s="52">
        <f t="shared" si="636"/>
        <v>46359</v>
      </c>
      <c r="EC63" s="53">
        <f t="shared" si="636"/>
        <v>46360</v>
      </c>
      <c r="ED63" s="51">
        <f t="shared" si="49"/>
        <v>46363</v>
      </c>
      <c r="EE63" s="52">
        <f t="shared" ref="EE63:EH63" si="637">ED63+1</f>
        <v>46364</v>
      </c>
      <c r="EF63" s="52">
        <f t="shared" si="637"/>
        <v>46365</v>
      </c>
      <c r="EG63" s="52">
        <f t="shared" si="637"/>
        <v>46366</v>
      </c>
      <c r="EH63" s="53">
        <f t="shared" si="637"/>
        <v>46367</v>
      </c>
      <c r="EI63" s="51">
        <f t="shared" si="51"/>
        <v>46370</v>
      </c>
      <c r="EJ63" s="52">
        <f t="shared" ref="EJ63:EM63" si="638">EI63+1</f>
        <v>46371</v>
      </c>
      <c r="EK63" s="52">
        <f t="shared" si="638"/>
        <v>46372</v>
      </c>
      <c r="EL63" s="52">
        <f t="shared" si="638"/>
        <v>46373</v>
      </c>
      <c r="EM63" s="53">
        <f t="shared" si="638"/>
        <v>46374</v>
      </c>
      <c r="EN63" s="51">
        <f t="shared" si="53"/>
        <v>46377</v>
      </c>
      <c r="EO63" s="52">
        <f t="shared" ref="EO63:ER63" si="639">EN63+1</f>
        <v>46378</v>
      </c>
      <c r="EP63" s="52">
        <f t="shared" si="639"/>
        <v>46379</v>
      </c>
      <c r="EQ63" s="52">
        <f t="shared" si="639"/>
        <v>46380</v>
      </c>
      <c r="ER63" s="53">
        <f t="shared" si="639"/>
        <v>46381</v>
      </c>
      <c r="ES63" s="51">
        <f t="shared" si="55"/>
        <v>46384</v>
      </c>
      <c r="ET63" s="52">
        <f t="shared" ref="ET63:EW63" si="640">ES63+1</f>
        <v>46385</v>
      </c>
      <c r="EU63" s="52">
        <f t="shared" si="640"/>
        <v>46386</v>
      </c>
      <c r="EV63" s="52">
        <f t="shared" si="640"/>
        <v>46387</v>
      </c>
      <c r="EW63" s="53">
        <f t="shared" si="640"/>
        <v>46388</v>
      </c>
      <c r="EX63" s="51">
        <f t="shared" si="57"/>
        <v>46391</v>
      </c>
      <c r="EY63" s="52">
        <f>EX52+1</f>
        <v>46392</v>
      </c>
      <c r="EZ63" s="52">
        <f>EY52+1</f>
        <v>46393</v>
      </c>
      <c r="FA63" s="52">
        <f>EZ52+1</f>
        <v>46394</v>
      </c>
      <c r="FB63" s="53">
        <f>FA52+1</f>
        <v>46395</v>
      </c>
    </row>
    <row r="64" spans="1:158" ht="17.25" customHeight="1" outlineLevel="1">
      <c r="A64" s="26"/>
      <c r="B64" s="34"/>
      <c r="C64" s="35" t="s">
        <v>134</v>
      </c>
      <c r="D64" s="36"/>
      <c r="E64" s="37"/>
      <c r="F64" s="38"/>
      <c r="G64" s="59"/>
      <c r="H64" s="67"/>
      <c r="I64" s="67"/>
      <c r="J64" s="68"/>
      <c r="K64" s="69"/>
      <c r="L64" s="70"/>
      <c r="M64" s="39">
        <f>MIN(M65:M66)</f>
        <v>46342</v>
      </c>
      <c r="N64" s="40">
        <f>MAX(N65:N66)</f>
        <v>46353</v>
      </c>
      <c r="O64" s="24">
        <f>SUM(O65:O66)</f>
        <v>5.0505050505050504E-2</v>
      </c>
      <c r="P64" s="24"/>
      <c r="Q64" s="24"/>
      <c r="R64" s="24"/>
      <c r="S64" s="51">
        <f t="shared" si="30"/>
        <v>46202</v>
      </c>
      <c r="T64" s="52">
        <f t="shared" ref="T64:W64" si="641">S64+1</f>
        <v>46203</v>
      </c>
      <c r="U64" s="52">
        <f t="shared" si="641"/>
        <v>46204</v>
      </c>
      <c r="V64" s="52">
        <f t="shared" si="641"/>
        <v>46205</v>
      </c>
      <c r="W64" s="53">
        <f t="shared" si="641"/>
        <v>46206</v>
      </c>
      <c r="X64" s="51">
        <v>46209</v>
      </c>
      <c r="Y64" s="52">
        <v>46210</v>
      </c>
      <c r="Z64" s="52">
        <v>46211</v>
      </c>
      <c r="AA64" s="52">
        <v>46212</v>
      </c>
      <c r="AB64" s="53">
        <v>46213</v>
      </c>
      <c r="AC64" s="51">
        <v>46216</v>
      </c>
      <c r="AD64" s="52">
        <v>46217</v>
      </c>
      <c r="AE64" s="52">
        <v>46218</v>
      </c>
      <c r="AF64" s="52">
        <v>46219</v>
      </c>
      <c r="AG64" s="53">
        <v>46220</v>
      </c>
      <c r="AH64" s="51">
        <v>46223</v>
      </c>
      <c r="AI64" s="52">
        <v>46224</v>
      </c>
      <c r="AJ64" s="52">
        <v>46225</v>
      </c>
      <c r="AK64" s="52">
        <v>46226</v>
      </c>
      <c r="AL64" s="53">
        <v>46227</v>
      </c>
      <c r="AM64" s="51">
        <v>46230</v>
      </c>
      <c r="AN64" s="52">
        <v>46231</v>
      </c>
      <c r="AO64" s="52">
        <v>46232</v>
      </c>
      <c r="AP64" s="52">
        <v>46233</v>
      </c>
      <c r="AQ64" s="53">
        <v>46234</v>
      </c>
      <c r="AR64" s="51">
        <v>46237</v>
      </c>
      <c r="AS64" s="52">
        <v>46238</v>
      </c>
      <c r="AT64" s="52">
        <v>46239</v>
      </c>
      <c r="AU64" s="52">
        <v>46240</v>
      </c>
      <c r="AV64" s="53">
        <v>46241</v>
      </c>
      <c r="AW64" s="51">
        <v>46244</v>
      </c>
      <c r="AX64" s="52">
        <v>46245</v>
      </c>
      <c r="AY64" s="52">
        <v>46246</v>
      </c>
      <c r="AZ64" s="52">
        <v>46247</v>
      </c>
      <c r="BA64" s="53">
        <v>46248</v>
      </c>
      <c r="BB64" s="51">
        <v>46251</v>
      </c>
      <c r="BC64" s="52">
        <v>46252</v>
      </c>
      <c r="BD64" s="52">
        <v>46253</v>
      </c>
      <c r="BE64" s="52">
        <v>46254</v>
      </c>
      <c r="BF64" s="53">
        <v>46255</v>
      </c>
      <c r="BG64" s="51">
        <v>46258</v>
      </c>
      <c r="BH64" s="52">
        <v>46259</v>
      </c>
      <c r="BI64" s="52">
        <v>46260</v>
      </c>
      <c r="BJ64" s="52">
        <v>46261</v>
      </c>
      <c r="BK64" s="53">
        <v>46262</v>
      </c>
      <c r="BL64" s="51">
        <v>46265</v>
      </c>
      <c r="BM64" s="52">
        <v>46266</v>
      </c>
      <c r="BN64" s="52">
        <v>46267</v>
      </c>
      <c r="BO64" s="52">
        <v>46268</v>
      </c>
      <c r="BP64" s="53">
        <v>46269</v>
      </c>
      <c r="BQ64" s="51">
        <v>46272</v>
      </c>
      <c r="BR64" s="52">
        <v>46273</v>
      </c>
      <c r="BS64" s="52">
        <v>46274</v>
      </c>
      <c r="BT64" s="52">
        <v>46275</v>
      </c>
      <c r="BU64" s="53">
        <v>46276</v>
      </c>
      <c r="BV64" s="51">
        <v>46279</v>
      </c>
      <c r="BW64" s="52">
        <v>46280</v>
      </c>
      <c r="BX64" s="52">
        <v>46281</v>
      </c>
      <c r="BY64" s="52">
        <v>46282</v>
      </c>
      <c r="BZ64" s="53">
        <v>46283</v>
      </c>
      <c r="CA64" s="51">
        <v>46286</v>
      </c>
      <c r="CB64" s="52">
        <v>46287</v>
      </c>
      <c r="CC64" s="52">
        <v>46288</v>
      </c>
      <c r="CD64" s="52">
        <v>46289</v>
      </c>
      <c r="CE64" s="53">
        <v>46290</v>
      </c>
      <c r="CF64" s="51">
        <v>46293</v>
      </c>
      <c r="CG64" s="52">
        <v>46294</v>
      </c>
      <c r="CH64" s="52">
        <v>46295</v>
      </c>
      <c r="CI64" s="52">
        <v>46296</v>
      </c>
      <c r="CJ64" s="53">
        <v>46297</v>
      </c>
      <c r="CK64" s="51">
        <f t="shared" si="32"/>
        <v>46300</v>
      </c>
      <c r="CL64" s="52">
        <f t="shared" ref="CL64:CO64" si="642">CK64+1</f>
        <v>46301</v>
      </c>
      <c r="CM64" s="52">
        <f t="shared" si="642"/>
        <v>46302</v>
      </c>
      <c r="CN64" s="52">
        <f t="shared" si="642"/>
        <v>46303</v>
      </c>
      <c r="CO64" s="53">
        <f t="shared" si="642"/>
        <v>46304</v>
      </c>
      <c r="CP64" s="51">
        <f t="shared" si="61"/>
        <v>46307</v>
      </c>
      <c r="CQ64" s="52">
        <f t="shared" ref="CQ64:CT64" si="643">CP64+1</f>
        <v>46308</v>
      </c>
      <c r="CR64" s="52">
        <f t="shared" si="643"/>
        <v>46309</v>
      </c>
      <c r="CS64" s="52">
        <f t="shared" si="643"/>
        <v>46310</v>
      </c>
      <c r="CT64" s="53">
        <f t="shared" si="643"/>
        <v>46311</v>
      </c>
      <c r="CU64" s="51">
        <f t="shared" si="35"/>
        <v>46314</v>
      </c>
      <c r="CV64" s="52">
        <f t="shared" ref="CV64:CY64" si="644">CU64+1</f>
        <v>46315</v>
      </c>
      <c r="CW64" s="52">
        <f t="shared" si="644"/>
        <v>46316</v>
      </c>
      <c r="CX64" s="52">
        <f t="shared" si="644"/>
        <v>46317</v>
      </c>
      <c r="CY64" s="53">
        <f t="shared" si="644"/>
        <v>46318</v>
      </c>
      <c r="CZ64" s="51">
        <f t="shared" si="37"/>
        <v>46321</v>
      </c>
      <c r="DA64" s="52">
        <f t="shared" ref="DA64:DD64" si="645">CZ64+1</f>
        <v>46322</v>
      </c>
      <c r="DB64" s="52">
        <f t="shared" si="645"/>
        <v>46323</v>
      </c>
      <c r="DC64" s="52">
        <f t="shared" si="645"/>
        <v>46324</v>
      </c>
      <c r="DD64" s="53">
        <f t="shared" si="645"/>
        <v>46325</v>
      </c>
      <c r="DE64" s="51">
        <f t="shared" si="39"/>
        <v>46328</v>
      </c>
      <c r="DF64" s="52">
        <f t="shared" ref="DF64:DI64" si="646">DE64+1</f>
        <v>46329</v>
      </c>
      <c r="DG64" s="52">
        <f t="shared" si="646"/>
        <v>46330</v>
      </c>
      <c r="DH64" s="52">
        <f t="shared" si="646"/>
        <v>46331</v>
      </c>
      <c r="DI64" s="53">
        <f t="shared" si="646"/>
        <v>46332</v>
      </c>
      <c r="DJ64" s="51">
        <f t="shared" si="41"/>
        <v>46335</v>
      </c>
      <c r="DK64" s="52">
        <f t="shared" ref="DK64:DN64" si="647">DJ64+1</f>
        <v>46336</v>
      </c>
      <c r="DL64" s="52">
        <f t="shared" si="647"/>
        <v>46337</v>
      </c>
      <c r="DM64" s="52">
        <f t="shared" si="647"/>
        <v>46338</v>
      </c>
      <c r="DN64" s="53">
        <f t="shared" si="647"/>
        <v>46339</v>
      </c>
      <c r="DO64" s="51">
        <f t="shared" si="43"/>
        <v>46342</v>
      </c>
      <c r="DP64" s="52">
        <f t="shared" ref="DP64:DS64" si="648">DO64+1</f>
        <v>46343</v>
      </c>
      <c r="DQ64" s="52">
        <f t="shared" si="648"/>
        <v>46344</v>
      </c>
      <c r="DR64" s="52">
        <f t="shared" si="648"/>
        <v>46345</v>
      </c>
      <c r="DS64" s="53">
        <f t="shared" si="648"/>
        <v>46346</v>
      </c>
      <c r="DT64" s="51">
        <f t="shared" si="45"/>
        <v>46349</v>
      </c>
      <c r="DU64" s="52">
        <f t="shared" ref="DU64:DX64" si="649">DT64+1</f>
        <v>46350</v>
      </c>
      <c r="DV64" s="52">
        <f t="shared" si="649"/>
        <v>46351</v>
      </c>
      <c r="DW64" s="52">
        <f t="shared" si="649"/>
        <v>46352</v>
      </c>
      <c r="DX64" s="53">
        <f t="shared" si="649"/>
        <v>46353</v>
      </c>
      <c r="DY64" s="51">
        <f t="shared" si="47"/>
        <v>46356</v>
      </c>
      <c r="DZ64" s="52">
        <f t="shared" ref="DZ64:EC64" si="650">DY64+1</f>
        <v>46357</v>
      </c>
      <c r="EA64" s="52">
        <f t="shared" si="650"/>
        <v>46358</v>
      </c>
      <c r="EB64" s="52">
        <f t="shared" si="650"/>
        <v>46359</v>
      </c>
      <c r="EC64" s="53">
        <f t="shared" si="650"/>
        <v>46360</v>
      </c>
      <c r="ED64" s="51">
        <f t="shared" si="49"/>
        <v>46363</v>
      </c>
      <c r="EE64" s="52">
        <f t="shared" ref="EE64:EH64" si="651">ED64+1</f>
        <v>46364</v>
      </c>
      <c r="EF64" s="52">
        <f t="shared" si="651"/>
        <v>46365</v>
      </c>
      <c r="EG64" s="52">
        <f t="shared" si="651"/>
        <v>46366</v>
      </c>
      <c r="EH64" s="53">
        <f t="shared" si="651"/>
        <v>46367</v>
      </c>
      <c r="EI64" s="51">
        <f t="shared" si="51"/>
        <v>46370</v>
      </c>
      <c r="EJ64" s="52">
        <f t="shared" ref="EJ64:EM64" si="652">EI64+1</f>
        <v>46371</v>
      </c>
      <c r="EK64" s="52">
        <f t="shared" si="652"/>
        <v>46372</v>
      </c>
      <c r="EL64" s="52">
        <f t="shared" si="652"/>
        <v>46373</v>
      </c>
      <c r="EM64" s="53">
        <f t="shared" si="652"/>
        <v>46374</v>
      </c>
      <c r="EN64" s="51">
        <f t="shared" si="53"/>
        <v>46377</v>
      </c>
      <c r="EO64" s="52">
        <f t="shared" ref="EO64:ER64" si="653">EN64+1</f>
        <v>46378</v>
      </c>
      <c r="EP64" s="52">
        <f t="shared" si="653"/>
        <v>46379</v>
      </c>
      <c r="EQ64" s="52">
        <f t="shared" si="653"/>
        <v>46380</v>
      </c>
      <c r="ER64" s="53">
        <f t="shared" si="653"/>
        <v>46381</v>
      </c>
      <c r="ES64" s="51">
        <f t="shared" si="55"/>
        <v>46384</v>
      </c>
      <c r="ET64" s="52">
        <f t="shared" ref="ET64:EW64" si="654">ES64+1</f>
        <v>46385</v>
      </c>
      <c r="EU64" s="52">
        <f t="shared" si="654"/>
        <v>46386</v>
      </c>
      <c r="EV64" s="52">
        <f t="shared" si="654"/>
        <v>46387</v>
      </c>
      <c r="EW64" s="53">
        <f t="shared" si="654"/>
        <v>46388</v>
      </c>
      <c r="EX64" s="51">
        <f t="shared" si="57"/>
        <v>46391</v>
      </c>
      <c r="EY64" s="52">
        <f t="shared" ref="EY64:FB69" si="655">EX63+1</f>
        <v>46392</v>
      </c>
      <c r="EZ64" s="52">
        <f t="shared" si="655"/>
        <v>46393</v>
      </c>
      <c r="FA64" s="52">
        <f t="shared" si="655"/>
        <v>46394</v>
      </c>
      <c r="FB64" s="53">
        <f t="shared" si="655"/>
        <v>46395</v>
      </c>
    </row>
    <row r="65" spans="1:158" ht="18" customHeight="1" outlineLevel="2">
      <c r="A65" s="26"/>
      <c r="B65" s="34"/>
      <c r="C65" s="34"/>
      <c r="D65" s="41" t="s">
        <v>97</v>
      </c>
      <c r="E65" s="42"/>
      <c r="F65" s="43"/>
      <c r="G65" s="60"/>
      <c r="H65" s="71" t="s">
        <v>18</v>
      </c>
      <c r="I65" s="71"/>
      <c r="J65" s="72"/>
      <c r="K65" s="73"/>
      <c r="L65" s="74" t="s">
        <v>124</v>
      </c>
      <c r="M65" s="46">
        <v>46342</v>
      </c>
      <c r="N65" s="47">
        <v>46353</v>
      </c>
      <c r="O65" s="48">
        <f>5/132/1.5</f>
        <v>2.5252525252525252E-2</v>
      </c>
      <c r="P65" s="48"/>
      <c r="Q65" s="49"/>
      <c r="R65" s="48"/>
      <c r="S65" s="51">
        <f t="shared" si="30"/>
        <v>46202</v>
      </c>
      <c r="T65" s="52">
        <f t="shared" ref="T65:W65" si="656">S65+1</f>
        <v>46203</v>
      </c>
      <c r="U65" s="52">
        <f t="shared" si="656"/>
        <v>46204</v>
      </c>
      <c r="V65" s="52">
        <f t="shared" si="656"/>
        <v>46205</v>
      </c>
      <c r="W65" s="53">
        <f t="shared" si="656"/>
        <v>46206</v>
      </c>
      <c r="X65" s="51">
        <v>46209</v>
      </c>
      <c r="Y65" s="52">
        <v>46210</v>
      </c>
      <c r="Z65" s="52">
        <v>46211</v>
      </c>
      <c r="AA65" s="52">
        <v>46212</v>
      </c>
      <c r="AB65" s="53">
        <v>46213</v>
      </c>
      <c r="AC65" s="51">
        <v>46216</v>
      </c>
      <c r="AD65" s="52">
        <v>46217</v>
      </c>
      <c r="AE65" s="52">
        <v>46218</v>
      </c>
      <c r="AF65" s="52">
        <v>46219</v>
      </c>
      <c r="AG65" s="53">
        <v>46220</v>
      </c>
      <c r="AH65" s="51">
        <v>46223</v>
      </c>
      <c r="AI65" s="52">
        <v>46224</v>
      </c>
      <c r="AJ65" s="52">
        <v>46225</v>
      </c>
      <c r="AK65" s="52">
        <v>46226</v>
      </c>
      <c r="AL65" s="53">
        <v>46227</v>
      </c>
      <c r="AM65" s="51">
        <v>46230</v>
      </c>
      <c r="AN65" s="52">
        <v>46231</v>
      </c>
      <c r="AO65" s="52">
        <v>46232</v>
      </c>
      <c r="AP65" s="52">
        <v>46233</v>
      </c>
      <c r="AQ65" s="53">
        <v>46234</v>
      </c>
      <c r="AR65" s="51">
        <v>46237</v>
      </c>
      <c r="AS65" s="52">
        <v>46238</v>
      </c>
      <c r="AT65" s="52">
        <v>46239</v>
      </c>
      <c r="AU65" s="52">
        <v>46240</v>
      </c>
      <c r="AV65" s="53">
        <v>46241</v>
      </c>
      <c r="AW65" s="51">
        <v>46244</v>
      </c>
      <c r="AX65" s="52">
        <v>46245</v>
      </c>
      <c r="AY65" s="52">
        <v>46246</v>
      </c>
      <c r="AZ65" s="52">
        <v>46247</v>
      </c>
      <c r="BA65" s="53">
        <v>46248</v>
      </c>
      <c r="BB65" s="51">
        <v>46251</v>
      </c>
      <c r="BC65" s="52">
        <v>46252</v>
      </c>
      <c r="BD65" s="52">
        <v>46253</v>
      </c>
      <c r="BE65" s="52">
        <v>46254</v>
      </c>
      <c r="BF65" s="53">
        <v>46255</v>
      </c>
      <c r="BG65" s="51">
        <v>46258</v>
      </c>
      <c r="BH65" s="52">
        <v>46259</v>
      </c>
      <c r="BI65" s="52">
        <v>46260</v>
      </c>
      <c r="BJ65" s="52">
        <v>46261</v>
      </c>
      <c r="BK65" s="53">
        <v>46262</v>
      </c>
      <c r="BL65" s="51">
        <v>46265</v>
      </c>
      <c r="BM65" s="52">
        <v>46266</v>
      </c>
      <c r="BN65" s="52">
        <v>46267</v>
      </c>
      <c r="BO65" s="52">
        <v>46268</v>
      </c>
      <c r="BP65" s="53">
        <v>46269</v>
      </c>
      <c r="BQ65" s="51">
        <v>46272</v>
      </c>
      <c r="BR65" s="52">
        <v>46273</v>
      </c>
      <c r="BS65" s="52">
        <v>46274</v>
      </c>
      <c r="BT65" s="52">
        <v>46275</v>
      </c>
      <c r="BU65" s="53">
        <v>46276</v>
      </c>
      <c r="BV65" s="51">
        <v>46279</v>
      </c>
      <c r="BW65" s="52">
        <v>46280</v>
      </c>
      <c r="BX65" s="52">
        <v>46281</v>
      </c>
      <c r="BY65" s="52">
        <v>46282</v>
      </c>
      <c r="BZ65" s="53">
        <v>46283</v>
      </c>
      <c r="CA65" s="51">
        <v>46286</v>
      </c>
      <c r="CB65" s="52">
        <v>46287</v>
      </c>
      <c r="CC65" s="52">
        <v>46288</v>
      </c>
      <c r="CD65" s="52">
        <v>46289</v>
      </c>
      <c r="CE65" s="53">
        <v>46290</v>
      </c>
      <c r="CF65" s="51">
        <v>46293</v>
      </c>
      <c r="CG65" s="52">
        <v>46294</v>
      </c>
      <c r="CH65" s="52">
        <v>46295</v>
      </c>
      <c r="CI65" s="52">
        <v>46296</v>
      </c>
      <c r="CJ65" s="53">
        <v>46297</v>
      </c>
      <c r="CK65" s="51">
        <f t="shared" si="32"/>
        <v>46300</v>
      </c>
      <c r="CL65" s="52">
        <f t="shared" ref="CL65:CO65" si="657">CK65+1</f>
        <v>46301</v>
      </c>
      <c r="CM65" s="52">
        <f t="shared" si="657"/>
        <v>46302</v>
      </c>
      <c r="CN65" s="52">
        <f t="shared" si="657"/>
        <v>46303</v>
      </c>
      <c r="CO65" s="53">
        <f t="shared" si="657"/>
        <v>46304</v>
      </c>
      <c r="CP65" s="51">
        <f t="shared" si="61"/>
        <v>46307</v>
      </c>
      <c r="CQ65" s="52">
        <f t="shared" ref="CQ65:CT65" si="658">CP65+1</f>
        <v>46308</v>
      </c>
      <c r="CR65" s="52">
        <f t="shared" si="658"/>
        <v>46309</v>
      </c>
      <c r="CS65" s="52">
        <f t="shared" si="658"/>
        <v>46310</v>
      </c>
      <c r="CT65" s="53">
        <f t="shared" si="658"/>
        <v>46311</v>
      </c>
      <c r="CU65" s="51">
        <f t="shared" si="35"/>
        <v>46314</v>
      </c>
      <c r="CV65" s="52">
        <f t="shared" ref="CV65:CY65" si="659">CU65+1</f>
        <v>46315</v>
      </c>
      <c r="CW65" s="52">
        <f t="shared" si="659"/>
        <v>46316</v>
      </c>
      <c r="CX65" s="52">
        <f t="shared" si="659"/>
        <v>46317</v>
      </c>
      <c r="CY65" s="53">
        <f t="shared" si="659"/>
        <v>46318</v>
      </c>
      <c r="CZ65" s="51">
        <f t="shared" si="37"/>
        <v>46321</v>
      </c>
      <c r="DA65" s="52">
        <f t="shared" ref="DA65:DD65" si="660">CZ65+1</f>
        <v>46322</v>
      </c>
      <c r="DB65" s="52">
        <f t="shared" si="660"/>
        <v>46323</v>
      </c>
      <c r="DC65" s="52">
        <f t="shared" si="660"/>
        <v>46324</v>
      </c>
      <c r="DD65" s="53">
        <f t="shared" si="660"/>
        <v>46325</v>
      </c>
      <c r="DE65" s="51">
        <f t="shared" si="39"/>
        <v>46328</v>
      </c>
      <c r="DF65" s="52">
        <f t="shared" ref="DF65:DI65" si="661">DE65+1</f>
        <v>46329</v>
      </c>
      <c r="DG65" s="52">
        <f t="shared" si="661"/>
        <v>46330</v>
      </c>
      <c r="DH65" s="52">
        <f t="shared" si="661"/>
        <v>46331</v>
      </c>
      <c r="DI65" s="53">
        <f t="shared" si="661"/>
        <v>46332</v>
      </c>
      <c r="DJ65" s="51">
        <f t="shared" si="41"/>
        <v>46335</v>
      </c>
      <c r="DK65" s="52">
        <f t="shared" ref="DK65:DN65" si="662">DJ65+1</f>
        <v>46336</v>
      </c>
      <c r="DL65" s="52">
        <f t="shared" si="662"/>
        <v>46337</v>
      </c>
      <c r="DM65" s="52">
        <f t="shared" si="662"/>
        <v>46338</v>
      </c>
      <c r="DN65" s="53">
        <f t="shared" si="662"/>
        <v>46339</v>
      </c>
      <c r="DO65" s="51">
        <f t="shared" si="43"/>
        <v>46342</v>
      </c>
      <c r="DP65" s="52">
        <f t="shared" ref="DP65:DS65" si="663">DO65+1</f>
        <v>46343</v>
      </c>
      <c r="DQ65" s="52">
        <f t="shared" si="663"/>
        <v>46344</v>
      </c>
      <c r="DR65" s="52">
        <f t="shared" si="663"/>
        <v>46345</v>
      </c>
      <c r="DS65" s="53">
        <f t="shared" si="663"/>
        <v>46346</v>
      </c>
      <c r="DT65" s="51">
        <f t="shared" si="45"/>
        <v>46349</v>
      </c>
      <c r="DU65" s="52">
        <f t="shared" ref="DU65:DX65" si="664">DT65+1</f>
        <v>46350</v>
      </c>
      <c r="DV65" s="52">
        <f t="shared" si="664"/>
        <v>46351</v>
      </c>
      <c r="DW65" s="52">
        <f t="shared" si="664"/>
        <v>46352</v>
      </c>
      <c r="DX65" s="53">
        <f t="shared" si="664"/>
        <v>46353</v>
      </c>
      <c r="DY65" s="51">
        <f t="shared" si="47"/>
        <v>46356</v>
      </c>
      <c r="DZ65" s="52">
        <f t="shared" ref="DZ65:EC65" si="665">DY65+1</f>
        <v>46357</v>
      </c>
      <c r="EA65" s="52">
        <f t="shared" si="665"/>
        <v>46358</v>
      </c>
      <c r="EB65" s="52">
        <f t="shared" si="665"/>
        <v>46359</v>
      </c>
      <c r="EC65" s="53">
        <f t="shared" si="665"/>
        <v>46360</v>
      </c>
      <c r="ED65" s="51">
        <f t="shared" si="49"/>
        <v>46363</v>
      </c>
      <c r="EE65" s="52">
        <f t="shared" ref="EE65:EH65" si="666">ED65+1</f>
        <v>46364</v>
      </c>
      <c r="EF65" s="52">
        <f t="shared" si="666"/>
        <v>46365</v>
      </c>
      <c r="EG65" s="52">
        <f t="shared" si="666"/>
        <v>46366</v>
      </c>
      <c r="EH65" s="53">
        <f t="shared" si="666"/>
        <v>46367</v>
      </c>
      <c r="EI65" s="51">
        <f t="shared" si="51"/>
        <v>46370</v>
      </c>
      <c r="EJ65" s="52">
        <f t="shared" ref="EJ65:EM65" si="667">EI65+1</f>
        <v>46371</v>
      </c>
      <c r="EK65" s="52">
        <f t="shared" si="667"/>
        <v>46372</v>
      </c>
      <c r="EL65" s="52">
        <f t="shared" si="667"/>
        <v>46373</v>
      </c>
      <c r="EM65" s="53">
        <f t="shared" si="667"/>
        <v>46374</v>
      </c>
      <c r="EN65" s="51">
        <f t="shared" si="53"/>
        <v>46377</v>
      </c>
      <c r="EO65" s="52">
        <f t="shared" ref="EO65:ER65" si="668">EN65+1</f>
        <v>46378</v>
      </c>
      <c r="EP65" s="52">
        <f t="shared" si="668"/>
        <v>46379</v>
      </c>
      <c r="EQ65" s="52">
        <f t="shared" si="668"/>
        <v>46380</v>
      </c>
      <c r="ER65" s="53">
        <f t="shared" si="668"/>
        <v>46381</v>
      </c>
      <c r="ES65" s="51">
        <f t="shared" si="55"/>
        <v>46384</v>
      </c>
      <c r="ET65" s="52">
        <f t="shared" ref="ET65:EW65" si="669">ES65+1</f>
        <v>46385</v>
      </c>
      <c r="EU65" s="52">
        <f t="shared" si="669"/>
        <v>46386</v>
      </c>
      <c r="EV65" s="52">
        <f t="shared" si="669"/>
        <v>46387</v>
      </c>
      <c r="EW65" s="53">
        <f t="shared" si="669"/>
        <v>46388</v>
      </c>
      <c r="EX65" s="51">
        <f t="shared" si="57"/>
        <v>46391</v>
      </c>
      <c r="EY65" s="52">
        <f t="shared" si="655"/>
        <v>46392</v>
      </c>
      <c r="EZ65" s="52">
        <f t="shared" si="655"/>
        <v>46393</v>
      </c>
      <c r="FA65" s="52">
        <f t="shared" si="655"/>
        <v>46394</v>
      </c>
      <c r="FB65" s="53">
        <f t="shared" si="655"/>
        <v>46395</v>
      </c>
    </row>
    <row r="66" spans="1:158" ht="18" customHeight="1" outlineLevel="2">
      <c r="A66" s="26"/>
      <c r="B66" s="34"/>
      <c r="C66" s="34"/>
      <c r="D66" s="2" t="s">
        <v>144</v>
      </c>
      <c r="E66" s="42"/>
      <c r="F66" s="43"/>
      <c r="G66" s="60"/>
      <c r="H66" s="71"/>
      <c r="I66" s="71" t="s">
        <v>18</v>
      </c>
      <c r="J66" s="72" t="s">
        <v>18</v>
      </c>
      <c r="K66" s="73"/>
      <c r="L66" s="74" t="s">
        <v>124</v>
      </c>
      <c r="M66" s="46">
        <v>46342</v>
      </c>
      <c r="N66" s="47">
        <v>46353</v>
      </c>
      <c r="O66" s="48">
        <f>5/132/1.5</f>
        <v>2.5252525252525252E-2</v>
      </c>
      <c r="P66" s="14"/>
      <c r="Q66" s="15"/>
      <c r="R66" s="14"/>
      <c r="S66" s="51">
        <f t="shared" si="30"/>
        <v>46202</v>
      </c>
      <c r="T66" s="52">
        <f t="shared" ref="T66:W66" si="670">S66+1</f>
        <v>46203</v>
      </c>
      <c r="U66" s="52">
        <f t="shared" si="670"/>
        <v>46204</v>
      </c>
      <c r="V66" s="52">
        <f t="shared" si="670"/>
        <v>46205</v>
      </c>
      <c r="W66" s="53">
        <f t="shared" si="670"/>
        <v>46206</v>
      </c>
      <c r="X66" s="51">
        <v>46209</v>
      </c>
      <c r="Y66" s="52">
        <v>46210</v>
      </c>
      <c r="Z66" s="52">
        <v>46211</v>
      </c>
      <c r="AA66" s="52">
        <v>46212</v>
      </c>
      <c r="AB66" s="53">
        <v>46213</v>
      </c>
      <c r="AC66" s="51">
        <v>46216</v>
      </c>
      <c r="AD66" s="52">
        <v>46217</v>
      </c>
      <c r="AE66" s="52">
        <v>46218</v>
      </c>
      <c r="AF66" s="52">
        <v>46219</v>
      </c>
      <c r="AG66" s="53">
        <v>46220</v>
      </c>
      <c r="AH66" s="51">
        <v>46223</v>
      </c>
      <c r="AI66" s="52">
        <v>46224</v>
      </c>
      <c r="AJ66" s="52">
        <v>46225</v>
      </c>
      <c r="AK66" s="52">
        <v>46226</v>
      </c>
      <c r="AL66" s="53">
        <v>46227</v>
      </c>
      <c r="AM66" s="51">
        <v>46230</v>
      </c>
      <c r="AN66" s="52">
        <v>46231</v>
      </c>
      <c r="AO66" s="52">
        <v>46232</v>
      </c>
      <c r="AP66" s="52">
        <v>46233</v>
      </c>
      <c r="AQ66" s="53">
        <v>46234</v>
      </c>
      <c r="AR66" s="51">
        <v>46237</v>
      </c>
      <c r="AS66" s="52">
        <v>46238</v>
      </c>
      <c r="AT66" s="52">
        <v>46239</v>
      </c>
      <c r="AU66" s="52">
        <v>46240</v>
      </c>
      <c r="AV66" s="53">
        <v>46241</v>
      </c>
      <c r="AW66" s="51">
        <v>46244</v>
      </c>
      <c r="AX66" s="52">
        <v>46245</v>
      </c>
      <c r="AY66" s="52">
        <v>46246</v>
      </c>
      <c r="AZ66" s="52">
        <v>46247</v>
      </c>
      <c r="BA66" s="53">
        <v>46248</v>
      </c>
      <c r="BB66" s="51">
        <v>46251</v>
      </c>
      <c r="BC66" s="52">
        <v>46252</v>
      </c>
      <c r="BD66" s="52">
        <v>46253</v>
      </c>
      <c r="BE66" s="52">
        <v>46254</v>
      </c>
      <c r="BF66" s="53">
        <v>46255</v>
      </c>
      <c r="BG66" s="51">
        <v>46258</v>
      </c>
      <c r="BH66" s="52">
        <v>46259</v>
      </c>
      <c r="BI66" s="52">
        <v>46260</v>
      </c>
      <c r="BJ66" s="52">
        <v>46261</v>
      </c>
      <c r="BK66" s="53">
        <v>46262</v>
      </c>
      <c r="BL66" s="51">
        <v>46265</v>
      </c>
      <c r="BM66" s="52">
        <v>46266</v>
      </c>
      <c r="BN66" s="52">
        <v>46267</v>
      </c>
      <c r="BO66" s="52">
        <v>46268</v>
      </c>
      <c r="BP66" s="53">
        <v>46269</v>
      </c>
      <c r="BQ66" s="51">
        <v>46272</v>
      </c>
      <c r="BR66" s="52">
        <v>46273</v>
      </c>
      <c r="BS66" s="52">
        <v>46274</v>
      </c>
      <c r="BT66" s="52">
        <v>46275</v>
      </c>
      <c r="BU66" s="53">
        <v>46276</v>
      </c>
      <c r="BV66" s="51">
        <v>46279</v>
      </c>
      <c r="BW66" s="52">
        <v>46280</v>
      </c>
      <c r="BX66" s="52">
        <v>46281</v>
      </c>
      <c r="BY66" s="52">
        <v>46282</v>
      </c>
      <c r="BZ66" s="53">
        <v>46283</v>
      </c>
      <c r="CA66" s="51">
        <v>46286</v>
      </c>
      <c r="CB66" s="52">
        <v>46287</v>
      </c>
      <c r="CC66" s="52">
        <v>46288</v>
      </c>
      <c r="CD66" s="52">
        <v>46289</v>
      </c>
      <c r="CE66" s="53">
        <v>46290</v>
      </c>
      <c r="CF66" s="51">
        <v>46293</v>
      </c>
      <c r="CG66" s="52">
        <v>46294</v>
      </c>
      <c r="CH66" s="52">
        <v>46295</v>
      </c>
      <c r="CI66" s="52">
        <v>46296</v>
      </c>
      <c r="CJ66" s="53">
        <v>46297</v>
      </c>
      <c r="CK66" s="51">
        <f t="shared" si="32"/>
        <v>46300</v>
      </c>
      <c r="CL66" s="52">
        <f t="shared" ref="CL66:CO66" si="671">CK66+1</f>
        <v>46301</v>
      </c>
      <c r="CM66" s="52">
        <f t="shared" si="671"/>
        <v>46302</v>
      </c>
      <c r="CN66" s="52">
        <f t="shared" si="671"/>
        <v>46303</v>
      </c>
      <c r="CO66" s="53">
        <f t="shared" si="671"/>
        <v>46304</v>
      </c>
      <c r="CP66" s="51">
        <f t="shared" si="61"/>
        <v>46307</v>
      </c>
      <c r="CQ66" s="52">
        <f t="shared" ref="CQ66:CT66" si="672">CP66+1</f>
        <v>46308</v>
      </c>
      <c r="CR66" s="52">
        <f t="shared" si="672"/>
        <v>46309</v>
      </c>
      <c r="CS66" s="52">
        <f t="shared" si="672"/>
        <v>46310</v>
      </c>
      <c r="CT66" s="53">
        <f t="shared" si="672"/>
        <v>46311</v>
      </c>
      <c r="CU66" s="51">
        <f t="shared" si="35"/>
        <v>46314</v>
      </c>
      <c r="CV66" s="52">
        <f t="shared" ref="CV66:CY66" si="673">CU66+1</f>
        <v>46315</v>
      </c>
      <c r="CW66" s="52">
        <f t="shared" si="673"/>
        <v>46316</v>
      </c>
      <c r="CX66" s="52">
        <f t="shared" si="673"/>
        <v>46317</v>
      </c>
      <c r="CY66" s="53">
        <f t="shared" si="673"/>
        <v>46318</v>
      </c>
      <c r="CZ66" s="51">
        <f t="shared" si="37"/>
        <v>46321</v>
      </c>
      <c r="DA66" s="52">
        <f t="shared" ref="DA66:DD66" si="674">CZ66+1</f>
        <v>46322</v>
      </c>
      <c r="DB66" s="52">
        <f t="shared" si="674"/>
        <v>46323</v>
      </c>
      <c r="DC66" s="52">
        <f t="shared" si="674"/>
        <v>46324</v>
      </c>
      <c r="DD66" s="53">
        <f t="shared" si="674"/>
        <v>46325</v>
      </c>
      <c r="DE66" s="51">
        <f t="shared" si="39"/>
        <v>46328</v>
      </c>
      <c r="DF66" s="52">
        <f t="shared" ref="DF66:DI66" si="675">DE66+1</f>
        <v>46329</v>
      </c>
      <c r="DG66" s="52">
        <f t="shared" si="675"/>
        <v>46330</v>
      </c>
      <c r="DH66" s="52">
        <f t="shared" si="675"/>
        <v>46331</v>
      </c>
      <c r="DI66" s="53">
        <f t="shared" si="675"/>
        <v>46332</v>
      </c>
      <c r="DJ66" s="51">
        <f t="shared" si="41"/>
        <v>46335</v>
      </c>
      <c r="DK66" s="52">
        <f t="shared" ref="DK66:DN66" si="676">DJ66+1</f>
        <v>46336</v>
      </c>
      <c r="DL66" s="52">
        <f t="shared" si="676"/>
        <v>46337</v>
      </c>
      <c r="DM66" s="52">
        <f t="shared" si="676"/>
        <v>46338</v>
      </c>
      <c r="DN66" s="53">
        <f t="shared" si="676"/>
        <v>46339</v>
      </c>
      <c r="DO66" s="51">
        <f t="shared" si="43"/>
        <v>46342</v>
      </c>
      <c r="DP66" s="52">
        <f t="shared" ref="DP66:DS66" si="677">DO66+1</f>
        <v>46343</v>
      </c>
      <c r="DQ66" s="52">
        <f t="shared" si="677"/>
        <v>46344</v>
      </c>
      <c r="DR66" s="52">
        <f t="shared" si="677"/>
        <v>46345</v>
      </c>
      <c r="DS66" s="53">
        <f t="shared" si="677"/>
        <v>46346</v>
      </c>
      <c r="DT66" s="51">
        <f t="shared" si="45"/>
        <v>46349</v>
      </c>
      <c r="DU66" s="52">
        <f t="shared" ref="DU66:DX66" si="678">DT66+1</f>
        <v>46350</v>
      </c>
      <c r="DV66" s="52">
        <f t="shared" si="678"/>
        <v>46351</v>
      </c>
      <c r="DW66" s="52">
        <f t="shared" si="678"/>
        <v>46352</v>
      </c>
      <c r="DX66" s="53">
        <f t="shared" si="678"/>
        <v>46353</v>
      </c>
      <c r="DY66" s="51">
        <f t="shared" si="47"/>
        <v>46356</v>
      </c>
      <c r="DZ66" s="52">
        <f t="shared" ref="DZ66:EC66" si="679">DY66+1</f>
        <v>46357</v>
      </c>
      <c r="EA66" s="52">
        <f t="shared" si="679"/>
        <v>46358</v>
      </c>
      <c r="EB66" s="52">
        <f t="shared" si="679"/>
        <v>46359</v>
      </c>
      <c r="EC66" s="53">
        <f t="shared" si="679"/>
        <v>46360</v>
      </c>
      <c r="ED66" s="51">
        <f t="shared" si="49"/>
        <v>46363</v>
      </c>
      <c r="EE66" s="52">
        <f t="shared" ref="EE66:EH66" si="680">ED66+1</f>
        <v>46364</v>
      </c>
      <c r="EF66" s="52">
        <f t="shared" si="680"/>
        <v>46365</v>
      </c>
      <c r="EG66" s="52">
        <f t="shared" si="680"/>
        <v>46366</v>
      </c>
      <c r="EH66" s="53">
        <f t="shared" si="680"/>
        <v>46367</v>
      </c>
      <c r="EI66" s="51">
        <f t="shared" si="51"/>
        <v>46370</v>
      </c>
      <c r="EJ66" s="52">
        <f t="shared" ref="EJ66:EM66" si="681">EI66+1</f>
        <v>46371</v>
      </c>
      <c r="EK66" s="52">
        <f t="shared" si="681"/>
        <v>46372</v>
      </c>
      <c r="EL66" s="52">
        <f t="shared" si="681"/>
        <v>46373</v>
      </c>
      <c r="EM66" s="53">
        <f t="shared" si="681"/>
        <v>46374</v>
      </c>
      <c r="EN66" s="51">
        <f t="shared" si="53"/>
        <v>46377</v>
      </c>
      <c r="EO66" s="52">
        <f t="shared" ref="EO66:ER66" si="682">EN66+1</f>
        <v>46378</v>
      </c>
      <c r="EP66" s="52">
        <f t="shared" si="682"/>
        <v>46379</v>
      </c>
      <c r="EQ66" s="52">
        <f t="shared" si="682"/>
        <v>46380</v>
      </c>
      <c r="ER66" s="53">
        <f t="shared" si="682"/>
        <v>46381</v>
      </c>
      <c r="ES66" s="51">
        <f t="shared" si="55"/>
        <v>46384</v>
      </c>
      <c r="ET66" s="52">
        <f t="shared" ref="ET66:EW66" si="683">ES66+1</f>
        <v>46385</v>
      </c>
      <c r="EU66" s="52">
        <f t="shared" si="683"/>
        <v>46386</v>
      </c>
      <c r="EV66" s="52">
        <f t="shared" si="683"/>
        <v>46387</v>
      </c>
      <c r="EW66" s="53">
        <f t="shared" si="683"/>
        <v>46388</v>
      </c>
      <c r="EX66" s="51">
        <f t="shared" si="57"/>
        <v>46391</v>
      </c>
      <c r="EY66" s="52">
        <f t="shared" si="655"/>
        <v>46392</v>
      </c>
      <c r="EZ66" s="52">
        <f t="shared" si="655"/>
        <v>46393</v>
      </c>
      <c r="FA66" s="52">
        <f t="shared" si="655"/>
        <v>46394</v>
      </c>
      <c r="FB66" s="53">
        <f t="shared" si="655"/>
        <v>46395</v>
      </c>
    </row>
    <row r="67" spans="1:158" ht="17.25" customHeight="1" outlineLevel="1">
      <c r="A67" s="26"/>
      <c r="B67" s="34"/>
      <c r="C67" s="35" t="s">
        <v>135</v>
      </c>
      <c r="D67" s="36"/>
      <c r="E67" s="37"/>
      <c r="F67" s="38"/>
      <c r="G67" s="59"/>
      <c r="H67" s="67"/>
      <c r="I67" s="67"/>
      <c r="J67" s="68"/>
      <c r="K67" s="69"/>
      <c r="L67" s="70"/>
      <c r="M67" s="39">
        <f>MIN(M68:M70)</f>
        <v>46356</v>
      </c>
      <c r="N67" s="40">
        <f>MAX(N68:N70)</f>
        <v>46387</v>
      </c>
      <c r="O67" s="24">
        <f>SUM(O68:O70)</f>
        <v>4.5454545454545456E-2</v>
      </c>
      <c r="P67" s="24"/>
      <c r="Q67" s="24"/>
      <c r="R67" s="24"/>
      <c r="S67" s="51">
        <f t="shared" si="30"/>
        <v>46202</v>
      </c>
      <c r="T67" s="52">
        <f t="shared" ref="T67:W67" si="684">S67+1</f>
        <v>46203</v>
      </c>
      <c r="U67" s="52">
        <f t="shared" si="684"/>
        <v>46204</v>
      </c>
      <c r="V67" s="52">
        <f t="shared" si="684"/>
        <v>46205</v>
      </c>
      <c r="W67" s="53">
        <f t="shared" si="684"/>
        <v>46206</v>
      </c>
      <c r="X67" s="51">
        <v>46209</v>
      </c>
      <c r="Y67" s="52">
        <v>46210</v>
      </c>
      <c r="Z67" s="52">
        <v>46211</v>
      </c>
      <c r="AA67" s="52">
        <v>46212</v>
      </c>
      <c r="AB67" s="53">
        <v>46213</v>
      </c>
      <c r="AC67" s="51">
        <v>46216</v>
      </c>
      <c r="AD67" s="52">
        <v>46217</v>
      </c>
      <c r="AE67" s="52">
        <v>46218</v>
      </c>
      <c r="AF67" s="52">
        <v>46219</v>
      </c>
      <c r="AG67" s="53">
        <v>46220</v>
      </c>
      <c r="AH67" s="51">
        <v>46223</v>
      </c>
      <c r="AI67" s="52">
        <v>46224</v>
      </c>
      <c r="AJ67" s="52">
        <v>46225</v>
      </c>
      <c r="AK67" s="52">
        <v>46226</v>
      </c>
      <c r="AL67" s="53">
        <v>46227</v>
      </c>
      <c r="AM67" s="51">
        <v>46230</v>
      </c>
      <c r="AN67" s="52">
        <v>46231</v>
      </c>
      <c r="AO67" s="52">
        <v>46232</v>
      </c>
      <c r="AP67" s="52">
        <v>46233</v>
      </c>
      <c r="AQ67" s="53">
        <v>46234</v>
      </c>
      <c r="AR67" s="51">
        <v>46237</v>
      </c>
      <c r="AS67" s="52">
        <v>46238</v>
      </c>
      <c r="AT67" s="52">
        <v>46239</v>
      </c>
      <c r="AU67" s="52">
        <v>46240</v>
      </c>
      <c r="AV67" s="53">
        <v>46241</v>
      </c>
      <c r="AW67" s="51">
        <v>46244</v>
      </c>
      <c r="AX67" s="52">
        <v>46245</v>
      </c>
      <c r="AY67" s="52">
        <v>46246</v>
      </c>
      <c r="AZ67" s="52">
        <v>46247</v>
      </c>
      <c r="BA67" s="53">
        <v>46248</v>
      </c>
      <c r="BB67" s="51">
        <v>46251</v>
      </c>
      <c r="BC67" s="52">
        <v>46252</v>
      </c>
      <c r="BD67" s="52">
        <v>46253</v>
      </c>
      <c r="BE67" s="52">
        <v>46254</v>
      </c>
      <c r="BF67" s="53">
        <v>46255</v>
      </c>
      <c r="BG67" s="51">
        <v>46258</v>
      </c>
      <c r="BH67" s="52">
        <v>46259</v>
      </c>
      <c r="BI67" s="52">
        <v>46260</v>
      </c>
      <c r="BJ67" s="52">
        <v>46261</v>
      </c>
      <c r="BK67" s="53">
        <v>46262</v>
      </c>
      <c r="BL67" s="51">
        <v>46265</v>
      </c>
      <c r="BM67" s="52">
        <v>46266</v>
      </c>
      <c r="BN67" s="52">
        <v>46267</v>
      </c>
      <c r="BO67" s="52">
        <v>46268</v>
      </c>
      <c r="BP67" s="53">
        <v>46269</v>
      </c>
      <c r="BQ67" s="51">
        <v>46272</v>
      </c>
      <c r="BR67" s="52">
        <v>46273</v>
      </c>
      <c r="BS67" s="52">
        <v>46274</v>
      </c>
      <c r="BT67" s="52">
        <v>46275</v>
      </c>
      <c r="BU67" s="53">
        <v>46276</v>
      </c>
      <c r="BV67" s="51">
        <v>46279</v>
      </c>
      <c r="BW67" s="52">
        <v>46280</v>
      </c>
      <c r="BX67" s="52">
        <v>46281</v>
      </c>
      <c r="BY67" s="52">
        <v>46282</v>
      </c>
      <c r="BZ67" s="53">
        <v>46283</v>
      </c>
      <c r="CA67" s="51">
        <v>46286</v>
      </c>
      <c r="CB67" s="52">
        <v>46287</v>
      </c>
      <c r="CC67" s="52">
        <v>46288</v>
      </c>
      <c r="CD67" s="52">
        <v>46289</v>
      </c>
      <c r="CE67" s="53">
        <v>46290</v>
      </c>
      <c r="CF67" s="51">
        <v>46293</v>
      </c>
      <c r="CG67" s="52">
        <v>46294</v>
      </c>
      <c r="CH67" s="52">
        <v>46295</v>
      </c>
      <c r="CI67" s="52">
        <v>46296</v>
      </c>
      <c r="CJ67" s="53">
        <v>46297</v>
      </c>
      <c r="CK67" s="51">
        <f t="shared" si="32"/>
        <v>46300</v>
      </c>
      <c r="CL67" s="52">
        <f t="shared" ref="CL67:CO67" si="685">CK67+1</f>
        <v>46301</v>
      </c>
      <c r="CM67" s="52">
        <f t="shared" si="685"/>
        <v>46302</v>
      </c>
      <c r="CN67" s="52">
        <f t="shared" si="685"/>
        <v>46303</v>
      </c>
      <c r="CO67" s="53">
        <f t="shared" si="685"/>
        <v>46304</v>
      </c>
      <c r="CP67" s="51">
        <f t="shared" si="61"/>
        <v>46307</v>
      </c>
      <c r="CQ67" s="52">
        <f t="shared" ref="CQ67:CT67" si="686">CP67+1</f>
        <v>46308</v>
      </c>
      <c r="CR67" s="52">
        <f t="shared" si="686"/>
        <v>46309</v>
      </c>
      <c r="CS67" s="52">
        <f t="shared" si="686"/>
        <v>46310</v>
      </c>
      <c r="CT67" s="53">
        <f t="shared" si="686"/>
        <v>46311</v>
      </c>
      <c r="CU67" s="51">
        <f t="shared" si="35"/>
        <v>46314</v>
      </c>
      <c r="CV67" s="52">
        <f t="shared" ref="CV67:CY67" si="687">CU67+1</f>
        <v>46315</v>
      </c>
      <c r="CW67" s="52">
        <f t="shared" si="687"/>
        <v>46316</v>
      </c>
      <c r="CX67" s="52">
        <f t="shared" si="687"/>
        <v>46317</v>
      </c>
      <c r="CY67" s="53">
        <f t="shared" si="687"/>
        <v>46318</v>
      </c>
      <c r="CZ67" s="51">
        <f t="shared" si="37"/>
        <v>46321</v>
      </c>
      <c r="DA67" s="52">
        <f t="shared" ref="DA67:DD67" si="688">CZ67+1</f>
        <v>46322</v>
      </c>
      <c r="DB67" s="52">
        <f t="shared" si="688"/>
        <v>46323</v>
      </c>
      <c r="DC67" s="52">
        <f t="shared" si="688"/>
        <v>46324</v>
      </c>
      <c r="DD67" s="53">
        <f t="shared" si="688"/>
        <v>46325</v>
      </c>
      <c r="DE67" s="51">
        <f t="shared" si="39"/>
        <v>46328</v>
      </c>
      <c r="DF67" s="52">
        <f t="shared" ref="DF67:DI67" si="689">DE67+1</f>
        <v>46329</v>
      </c>
      <c r="DG67" s="52">
        <f t="shared" si="689"/>
        <v>46330</v>
      </c>
      <c r="DH67" s="52">
        <f t="shared" si="689"/>
        <v>46331</v>
      </c>
      <c r="DI67" s="53">
        <f t="shared" si="689"/>
        <v>46332</v>
      </c>
      <c r="DJ67" s="51">
        <f t="shared" si="41"/>
        <v>46335</v>
      </c>
      <c r="DK67" s="52">
        <f t="shared" ref="DK67:DN67" si="690">DJ67+1</f>
        <v>46336</v>
      </c>
      <c r="DL67" s="52">
        <f t="shared" si="690"/>
        <v>46337</v>
      </c>
      <c r="DM67" s="52">
        <f t="shared" si="690"/>
        <v>46338</v>
      </c>
      <c r="DN67" s="53">
        <f t="shared" si="690"/>
        <v>46339</v>
      </c>
      <c r="DO67" s="51">
        <f t="shared" si="43"/>
        <v>46342</v>
      </c>
      <c r="DP67" s="52">
        <f t="shared" ref="DP67:DS67" si="691">DO67+1</f>
        <v>46343</v>
      </c>
      <c r="DQ67" s="52">
        <f t="shared" si="691"/>
        <v>46344</v>
      </c>
      <c r="DR67" s="52">
        <f t="shared" si="691"/>
        <v>46345</v>
      </c>
      <c r="DS67" s="53">
        <f t="shared" si="691"/>
        <v>46346</v>
      </c>
      <c r="DT67" s="51">
        <f t="shared" si="45"/>
        <v>46349</v>
      </c>
      <c r="DU67" s="52">
        <f t="shared" ref="DU67:DX67" si="692">DT67+1</f>
        <v>46350</v>
      </c>
      <c r="DV67" s="52">
        <f t="shared" si="692"/>
        <v>46351</v>
      </c>
      <c r="DW67" s="52">
        <f t="shared" si="692"/>
        <v>46352</v>
      </c>
      <c r="DX67" s="53">
        <f t="shared" si="692"/>
        <v>46353</v>
      </c>
      <c r="DY67" s="51">
        <f t="shared" si="47"/>
        <v>46356</v>
      </c>
      <c r="DZ67" s="52">
        <f t="shared" ref="DZ67:EC67" si="693">DY67+1</f>
        <v>46357</v>
      </c>
      <c r="EA67" s="52">
        <f t="shared" si="693"/>
        <v>46358</v>
      </c>
      <c r="EB67" s="52">
        <f t="shared" si="693"/>
        <v>46359</v>
      </c>
      <c r="EC67" s="53">
        <f t="shared" si="693"/>
        <v>46360</v>
      </c>
      <c r="ED67" s="51">
        <f t="shared" si="49"/>
        <v>46363</v>
      </c>
      <c r="EE67" s="52">
        <f t="shared" ref="EE67:EH67" si="694">ED67+1</f>
        <v>46364</v>
      </c>
      <c r="EF67" s="52">
        <f t="shared" si="694"/>
        <v>46365</v>
      </c>
      <c r="EG67" s="52">
        <f t="shared" si="694"/>
        <v>46366</v>
      </c>
      <c r="EH67" s="53">
        <f t="shared" si="694"/>
        <v>46367</v>
      </c>
      <c r="EI67" s="51">
        <f t="shared" si="51"/>
        <v>46370</v>
      </c>
      <c r="EJ67" s="52">
        <f t="shared" ref="EJ67:EM67" si="695">EI67+1</f>
        <v>46371</v>
      </c>
      <c r="EK67" s="52">
        <f t="shared" si="695"/>
        <v>46372</v>
      </c>
      <c r="EL67" s="52">
        <f t="shared" si="695"/>
        <v>46373</v>
      </c>
      <c r="EM67" s="53">
        <f t="shared" si="695"/>
        <v>46374</v>
      </c>
      <c r="EN67" s="51">
        <f t="shared" si="53"/>
        <v>46377</v>
      </c>
      <c r="EO67" s="52">
        <f t="shared" ref="EO67:ER67" si="696">EN67+1</f>
        <v>46378</v>
      </c>
      <c r="EP67" s="52">
        <f t="shared" si="696"/>
        <v>46379</v>
      </c>
      <c r="EQ67" s="52">
        <f t="shared" si="696"/>
        <v>46380</v>
      </c>
      <c r="ER67" s="53">
        <f t="shared" si="696"/>
        <v>46381</v>
      </c>
      <c r="ES67" s="51">
        <f t="shared" si="55"/>
        <v>46384</v>
      </c>
      <c r="ET67" s="52">
        <f t="shared" ref="ET67:EW67" si="697">ES67+1</f>
        <v>46385</v>
      </c>
      <c r="EU67" s="52">
        <f t="shared" si="697"/>
        <v>46386</v>
      </c>
      <c r="EV67" s="52">
        <f t="shared" si="697"/>
        <v>46387</v>
      </c>
      <c r="EW67" s="53">
        <f t="shared" si="697"/>
        <v>46388</v>
      </c>
      <c r="EX67" s="51">
        <f t="shared" si="57"/>
        <v>46391</v>
      </c>
      <c r="EY67" s="52">
        <f t="shared" si="655"/>
        <v>46392</v>
      </c>
      <c r="EZ67" s="52">
        <f t="shared" si="655"/>
        <v>46393</v>
      </c>
      <c r="FA67" s="52">
        <f t="shared" si="655"/>
        <v>46394</v>
      </c>
      <c r="FB67" s="53">
        <f t="shared" si="655"/>
        <v>46395</v>
      </c>
    </row>
    <row r="68" spans="1:158" ht="17.25" customHeight="1" outlineLevel="2">
      <c r="A68" s="26"/>
      <c r="B68" s="34"/>
      <c r="C68" s="34"/>
      <c r="D68" s="41" t="s">
        <v>99</v>
      </c>
      <c r="E68" s="42"/>
      <c r="F68" s="43"/>
      <c r="G68" s="71" t="s">
        <v>18</v>
      </c>
      <c r="H68" s="71"/>
      <c r="I68" s="71"/>
      <c r="J68" s="72"/>
      <c r="K68" s="73"/>
      <c r="L68" s="74"/>
      <c r="M68" s="46">
        <v>46356</v>
      </c>
      <c r="N68" s="44">
        <v>46367</v>
      </c>
      <c r="O68" s="48">
        <f>5/132/3</f>
        <v>1.2626262626262626E-2</v>
      </c>
      <c r="P68" s="14"/>
      <c r="Q68" s="15"/>
      <c r="R68" s="14"/>
      <c r="S68" s="51">
        <f t="shared" si="30"/>
        <v>46202</v>
      </c>
      <c r="T68" s="52">
        <f t="shared" ref="T68:W69" si="698">S68+1</f>
        <v>46203</v>
      </c>
      <c r="U68" s="52">
        <f t="shared" si="698"/>
        <v>46204</v>
      </c>
      <c r="V68" s="52">
        <f t="shared" si="698"/>
        <v>46205</v>
      </c>
      <c r="W68" s="53">
        <f t="shared" si="698"/>
        <v>46206</v>
      </c>
      <c r="X68" s="51">
        <v>46209</v>
      </c>
      <c r="Y68" s="52">
        <v>46210</v>
      </c>
      <c r="Z68" s="52">
        <v>46211</v>
      </c>
      <c r="AA68" s="52">
        <v>46212</v>
      </c>
      <c r="AB68" s="53">
        <v>46213</v>
      </c>
      <c r="AC68" s="51">
        <v>46216</v>
      </c>
      <c r="AD68" s="52">
        <v>46217</v>
      </c>
      <c r="AE68" s="52">
        <v>46218</v>
      </c>
      <c r="AF68" s="52">
        <v>46219</v>
      </c>
      <c r="AG68" s="53">
        <v>46220</v>
      </c>
      <c r="AH68" s="51">
        <v>46223</v>
      </c>
      <c r="AI68" s="52">
        <v>46224</v>
      </c>
      <c r="AJ68" s="52">
        <v>46225</v>
      </c>
      <c r="AK68" s="52">
        <v>46226</v>
      </c>
      <c r="AL68" s="53">
        <v>46227</v>
      </c>
      <c r="AM68" s="51">
        <v>46230</v>
      </c>
      <c r="AN68" s="52">
        <v>46231</v>
      </c>
      <c r="AO68" s="52">
        <v>46232</v>
      </c>
      <c r="AP68" s="52">
        <v>46233</v>
      </c>
      <c r="AQ68" s="53">
        <v>46234</v>
      </c>
      <c r="AR68" s="51">
        <v>46237</v>
      </c>
      <c r="AS68" s="52">
        <v>46238</v>
      </c>
      <c r="AT68" s="52">
        <v>46239</v>
      </c>
      <c r="AU68" s="52">
        <v>46240</v>
      </c>
      <c r="AV68" s="53">
        <v>46241</v>
      </c>
      <c r="AW68" s="51">
        <v>46244</v>
      </c>
      <c r="AX68" s="52">
        <v>46245</v>
      </c>
      <c r="AY68" s="52">
        <v>46246</v>
      </c>
      <c r="AZ68" s="52">
        <v>46247</v>
      </c>
      <c r="BA68" s="53">
        <v>46248</v>
      </c>
      <c r="BB68" s="51">
        <v>46251</v>
      </c>
      <c r="BC68" s="52">
        <v>46252</v>
      </c>
      <c r="BD68" s="52">
        <v>46253</v>
      </c>
      <c r="BE68" s="52">
        <v>46254</v>
      </c>
      <c r="BF68" s="53">
        <v>46255</v>
      </c>
      <c r="BG68" s="51">
        <v>46258</v>
      </c>
      <c r="BH68" s="52">
        <v>46259</v>
      </c>
      <c r="BI68" s="52">
        <v>46260</v>
      </c>
      <c r="BJ68" s="52">
        <v>46261</v>
      </c>
      <c r="BK68" s="53">
        <v>46262</v>
      </c>
      <c r="BL68" s="51">
        <v>46265</v>
      </c>
      <c r="BM68" s="52">
        <v>46266</v>
      </c>
      <c r="BN68" s="52">
        <v>46267</v>
      </c>
      <c r="BO68" s="52">
        <v>46268</v>
      </c>
      <c r="BP68" s="53">
        <v>46269</v>
      </c>
      <c r="BQ68" s="51">
        <v>46272</v>
      </c>
      <c r="BR68" s="52">
        <v>46273</v>
      </c>
      <c r="BS68" s="52">
        <v>46274</v>
      </c>
      <c r="BT68" s="52">
        <v>46275</v>
      </c>
      <c r="BU68" s="53">
        <v>46276</v>
      </c>
      <c r="BV68" s="51">
        <v>46279</v>
      </c>
      <c r="BW68" s="52">
        <v>46280</v>
      </c>
      <c r="BX68" s="52">
        <v>46281</v>
      </c>
      <c r="BY68" s="52">
        <v>46282</v>
      </c>
      <c r="BZ68" s="53">
        <v>46283</v>
      </c>
      <c r="CA68" s="51">
        <v>46286</v>
      </c>
      <c r="CB68" s="52">
        <v>46287</v>
      </c>
      <c r="CC68" s="52">
        <v>46288</v>
      </c>
      <c r="CD68" s="52">
        <v>46289</v>
      </c>
      <c r="CE68" s="53">
        <v>46290</v>
      </c>
      <c r="CF68" s="51">
        <v>46293</v>
      </c>
      <c r="CG68" s="52">
        <v>46294</v>
      </c>
      <c r="CH68" s="52">
        <v>46295</v>
      </c>
      <c r="CI68" s="52">
        <v>46296</v>
      </c>
      <c r="CJ68" s="53">
        <v>46297</v>
      </c>
      <c r="CK68" s="51">
        <f t="shared" si="32"/>
        <v>46300</v>
      </c>
      <c r="CL68" s="52">
        <f t="shared" ref="CL68:CO69" si="699">CK68+1</f>
        <v>46301</v>
      </c>
      <c r="CM68" s="52">
        <f t="shared" si="699"/>
        <v>46302</v>
      </c>
      <c r="CN68" s="52">
        <f t="shared" si="699"/>
        <v>46303</v>
      </c>
      <c r="CO68" s="53">
        <f t="shared" si="699"/>
        <v>46304</v>
      </c>
      <c r="CP68" s="51">
        <f t="shared" si="61"/>
        <v>46307</v>
      </c>
      <c r="CQ68" s="52">
        <f t="shared" ref="CQ68:CT69" si="700">CP68+1</f>
        <v>46308</v>
      </c>
      <c r="CR68" s="52">
        <f t="shared" si="700"/>
        <v>46309</v>
      </c>
      <c r="CS68" s="52">
        <f t="shared" si="700"/>
        <v>46310</v>
      </c>
      <c r="CT68" s="53">
        <f t="shared" si="700"/>
        <v>46311</v>
      </c>
      <c r="CU68" s="51">
        <f t="shared" si="35"/>
        <v>46314</v>
      </c>
      <c r="CV68" s="52">
        <f t="shared" ref="CV68:CY69" si="701">CU68+1</f>
        <v>46315</v>
      </c>
      <c r="CW68" s="52">
        <f t="shared" si="701"/>
        <v>46316</v>
      </c>
      <c r="CX68" s="52">
        <f t="shared" si="701"/>
        <v>46317</v>
      </c>
      <c r="CY68" s="53">
        <f t="shared" si="701"/>
        <v>46318</v>
      </c>
      <c r="CZ68" s="51">
        <f t="shared" si="37"/>
        <v>46321</v>
      </c>
      <c r="DA68" s="52">
        <f t="shared" ref="DA68:DD69" si="702">CZ68+1</f>
        <v>46322</v>
      </c>
      <c r="DB68" s="52">
        <f t="shared" si="702"/>
        <v>46323</v>
      </c>
      <c r="DC68" s="52">
        <f t="shared" si="702"/>
        <v>46324</v>
      </c>
      <c r="DD68" s="53">
        <f t="shared" si="702"/>
        <v>46325</v>
      </c>
      <c r="DE68" s="51">
        <f t="shared" si="39"/>
        <v>46328</v>
      </c>
      <c r="DF68" s="52">
        <f t="shared" ref="DF68:DI69" si="703">DE68+1</f>
        <v>46329</v>
      </c>
      <c r="DG68" s="52">
        <f t="shared" si="703"/>
        <v>46330</v>
      </c>
      <c r="DH68" s="52">
        <f t="shared" si="703"/>
        <v>46331</v>
      </c>
      <c r="DI68" s="53">
        <f t="shared" si="703"/>
        <v>46332</v>
      </c>
      <c r="DJ68" s="51">
        <f t="shared" si="41"/>
        <v>46335</v>
      </c>
      <c r="DK68" s="52">
        <f t="shared" ref="DK68:DN69" si="704">DJ68+1</f>
        <v>46336</v>
      </c>
      <c r="DL68" s="52">
        <f t="shared" si="704"/>
        <v>46337</v>
      </c>
      <c r="DM68" s="52">
        <f t="shared" si="704"/>
        <v>46338</v>
      </c>
      <c r="DN68" s="53">
        <f t="shared" si="704"/>
        <v>46339</v>
      </c>
      <c r="DO68" s="51">
        <f t="shared" si="43"/>
        <v>46342</v>
      </c>
      <c r="DP68" s="52">
        <f t="shared" ref="DP68:DS69" si="705">DO68+1</f>
        <v>46343</v>
      </c>
      <c r="DQ68" s="52">
        <f t="shared" si="705"/>
        <v>46344</v>
      </c>
      <c r="DR68" s="52">
        <f t="shared" si="705"/>
        <v>46345</v>
      </c>
      <c r="DS68" s="53">
        <f t="shared" si="705"/>
        <v>46346</v>
      </c>
      <c r="DT68" s="51">
        <f t="shared" si="45"/>
        <v>46349</v>
      </c>
      <c r="DU68" s="52">
        <f t="shared" ref="DU68:DX69" si="706">DT68+1</f>
        <v>46350</v>
      </c>
      <c r="DV68" s="52">
        <f t="shared" si="706"/>
        <v>46351</v>
      </c>
      <c r="DW68" s="52">
        <f t="shared" si="706"/>
        <v>46352</v>
      </c>
      <c r="DX68" s="53">
        <f t="shared" si="706"/>
        <v>46353</v>
      </c>
      <c r="DY68" s="51">
        <f t="shared" si="47"/>
        <v>46356</v>
      </c>
      <c r="DZ68" s="52">
        <f t="shared" ref="DZ68:EC69" si="707">DY68+1</f>
        <v>46357</v>
      </c>
      <c r="EA68" s="52">
        <f t="shared" si="707"/>
        <v>46358</v>
      </c>
      <c r="EB68" s="52">
        <f t="shared" si="707"/>
        <v>46359</v>
      </c>
      <c r="EC68" s="53">
        <f t="shared" si="707"/>
        <v>46360</v>
      </c>
      <c r="ED68" s="51">
        <f t="shared" si="49"/>
        <v>46363</v>
      </c>
      <c r="EE68" s="52">
        <f t="shared" ref="EE68:EH69" si="708">ED68+1</f>
        <v>46364</v>
      </c>
      <c r="EF68" s="52">
        <f t="shared" si="708"/>
        <v>46365</v>
      </c>
      <c r="EG68" s="52">
        <f t="shared" si="708"/>
        <v>46366</v>
      </c>
      <c r="EH68" s="53">
        <f t="shared" si="708"/>
        <v>46367</v>
      </c>
      <c r="EI68" s="51">
        <f t="shared" si="51"/>
        <v>46370</v>
      </c>
      <c r="EJ68" s="52">
        <f t="shared" ref="EJ68:EM69" si="709">EI68+1</f>
        <v>46371</v>
      </c>
      <c r="EK68" s="52">
        <f t="shared" si="709"/>
        <v>46372</v>
      </c>
      <c r="EL68" s="52">
        <f t="shared" si="709"/>
        <v>46373</v>
      </c>
      <c r="EM68" s="53">
        <f t="shared" si="709"/>
        <v>46374</v>
      </c>
      <c r="EN68" s="51">
        <f t="shared" si="53"/>
        <v>46377</v>
      </c>
      <c r="EO68" s="52">
        <f t="shared" ref="EO68:ER69" si="710">EN68+1</f>
        <v>46378</v>
      </c>
      <c r="EP68" s="52">
        <f t="shared" si="710"/>
        <v>46379</v>
      </c>
      <c r="EQ68" s="52">
        <f t="shared" si="710"/>
        <v>46380</v>
      </c>
      <c r="ER68" s="53">
        <f t="shared" si="710"/>
        <v>46381</v>
      </c>
      <c r="ES68" s="51">
        <f t="shared" si="55"/>
        <v>46384</v>
      </c>
      <c r="ET68" s="52">
        <f t="shared" ref="ET68:EW69" si="711">ES68+1</f>
        <v>46385</v>
      </c>
      <c r="EU68" s="52">
        <f t="shared" si="711"/>
        <v>46386</v>
      </c>
      <c r="EV68" s="52">
        <f t="shared" si="711"/>
        <v>46387</v>
      </c>
      <c r="EW68" s="53">
        <f t="shared" si="711"/>
        <v>46388</v>
      </c>
      <c r="EX68" s="51">
        <f t="shared" si="57"/>
        <v>46391</v>
      </c>
      <c r="EY68" s="52">
        <f t="shared" si="655"/>
        <v>46392</v>
      </c>
      <c r="EZ68" s="52">
        <f t="shared" si="655"/>
        <v>46393</v>
      </c>
      <c r="FA68" s="52">
        <f t="shared" si="655"/>
        <v>46394</v>
      </c>
      <c r="FB68" s="53">
        <f t="shared" si="655"/>
        <v>46395</v>
      </c>
    </row>
    <row r="69" spans="1:158" ht="17.25" customHeight="1" outlineLevel="2">
      <c r="A69" s="26"/>
      <c r="B69" s="34"/>
      <c r="C69" s="34"/>
      <c r="D69" s="41" t="s">
        <v>100</v>
      </c>
      <c r="E69" s="42"/>
      <c r="F69" s="43"/>
      <c r="G69" s="71" t="s">
        <v>18</v>
      </c>
      <c r="H69" s="71"/>
      <c r="I69" s="71"/>
      <c r="J69" s="72"/>
      <c r="K69" s="73"/>
      <c r="L69" s="74"/>
      <c r="M69" s="46">
        <v>46370</v>
      </c>
      <c r="N69" s="44">
        <v>46374</v>
      </c>
      <c r="O69" s="48">
        <f>5/132/3</f>
        <v>1.2626262626262626E-2</v>
      </c>
      <c r="P69" s="14"/>
      <c r="Q69" s="15"/>
      <c r="R69" s="14"/>
      <c r="S69" s="51">
        <f t="shared" si="30"/>
        <v>46202</v>
      </c>
      <c r="T69" s="52">
        <f t="shared" si="698"/>
        <v>46203</v>
      </c>
      <c r="U69" s="52">
        <f t="shared" si="698"/>
        <v>46204</v>
      </c>
      <c r="V69" s="52">
        <f t="shared" si="698"/>
        <v>46205</v>
      </c>
      <c r="W69" s="53">
        <f t="shared" si="698"/>
        <v>46206</v>
      </c>
      <c r="X69" s="51">
        <v>46209</v>
      </c>
      <c r="Y69" s="52">
        <v>46210</v>
      </c>
      <c r="Z69" s="52">
        <v>46211</v>
      </c>
      <c r="AA69" s="52">
        <v>46212</v>
      </c>
      <c r="AB69" s="53">
        <v>46213</v>
      </c>
      <c r="AC69" s="51">
        <v>46216</v>
      </c>
      <c r="AD69" s="52">
        <v>46217</v>
      </c>
      <c r="AE69" s="52">
        <v>46218</v>
      </c>
      <c r="AF69" s="52">
        <v>46219</v>
      </c>
      <c r="AG69" s="53">
        <v>46220</v>
      </c>
      <c r="AH69" s="51">
        <v>46223</v>
      </c>
      <c r="AI69" s="52">
        <v>46224</v>
      </c>
      <c r="AJ69" s="52">
        <v>46225</v>
      </c>
      <c r="AK69" s="52">
        <v>46226</v>
      </c>
      <c r="AL69" s="53">
        <v>46227</v>
      </c>
      <c r="AM69" s="51">
        <v>46230</v>
      </c>
      <c r="AN69" s="52">
        <v>46231</v>
      </c>
      <c r="AO69" s="52">
        <v>46232</v>
      </c>
      <c r="AP69" s="52">
        <v>46233</v>
      </c>
      <c r="AQ69" s="53">
        <v>46234</v>
      </c>
      <c r="AR69" s="51">
        <v>46237</v>
      </c>
      <c r="AS69" s="52">
        <v>46238</v>
      </c>
      <c r="AT69" s="52">
        <v>46239</v>
      </c>
      <c r="AU69" s="52">
        <v>46240</v>
      </c>
      <c r="AV69" s="53">
        <v>46241</v>
      </c>
      <c r="AW69" s="51">
        <v>46244</v>
      </c>
      <c r="AX69" s="52">
        <v>46245</v>
      </c>
      <c r="AY69" s="52">
        <v>46246</v>
      </c>
      <c r="AZ69" s="52">
        <v>46247</v>
      </c>
      <c r="BA69" s="53">
        <v>46248</v>
      </c>
      <c r="BB69" s="51">
        <v>46251</v>
      </c>
      <c r="BC69" s="52">
        <v>46252</v>
      </c>
      <c r="BD69" s="52">
        <v>46253</v>
      </c>
      <c r="BE69" s="52">
        <v>46254</v>
      </c>
      <c r="BF69" s="53">
        <v>46255</v>
      </c>
      <c r="BG69" s="51">
        <v>46258</v>
      </c>
      <c r="BH69" s="52">
        <v>46259</v>
      </c>
      <c r="BI69" s="52">
        <v>46260</v>
      </c>
      <c r="BJ69" s="52">
        <v>46261</v>
      </c>
      <c r="BK69" s="53">
        <v>46262</v>
      </c>
      <c r="BL69" s="51">
        <v>46265</v>
      </c>
      <c r="BM69" s="52">
        <v>46266</v>
      </c>
      <c r="BN69" s="52">
        <v>46267</v>
      </c>
      <c r="BO69" s="52">
        <v>46268</v>
      </c>
      <c r="BP69" s="53">
        <v>46269</v>
      </c>
      <c r="BQ69" s="51">
        <v>46272</v>
      </c>
      <c r="BR69" s="52">
        <v>46273</v>
      </c>
      <c r="BS69" s="52">
        <v>46274</v>
      </c>
      <c r="BT69" s="52">
        <v>46275</v>
      </c>
      <c r="BU69" s="53">
        <v>46276</v>
      </c>
      <c r="BV69" s="51">
        <v>46279</v>
      </c>
      <c r="BW69" s="52">
        <v>46280</v>
      </c>
      <c r="BX69" s="52">
        <v>46281</v>
      </c>
      <c r="BY69" s="52">
        <v>46282</v>
      </c>
      <c r="BZ69" s="53">
        <v>46283</v>
      </c>
      <c r="CA69" s="51">
        <v>46286</v>
      </c>
      <c r="CB69" s="52">
        <v>46287</v>
      </c>
      <c r="CC69" s="52">
        <v>46288</v>
      </c>
      <c r="CD69" s="52">
        <v>46289</v>
      </c>
      <c r="CE69" s="53">
        <v>46290</v>
      </c>
      <c r="CF69" s="51">
        <v>46293</v>
      </c>
      <c r="CG69" s="52">
        <v>46294</v>
      </c>
      <c r="CH69" s="52">
        <v>46295</v>
      </c>
      <c r="CI69" s="52">
        <v>46296</v>
      </c>
      <c r="CJ69" s="53">
        <v>46297</v>
      </c>
      <c r="CK69" s="51">
        <f t="shared" si="32"/>
        <v>46300</v>
      </c>
      <c r="CL69" s="52">
        <f t="shared" si="699"/>
        <v>46301</v>
      </c>
      <c r="CM69" s="52">
        <f t="shared" si="699"/>
        <v>46302</v>
      </c>
      <c r="CN69" s="52">
        <f t="shared" si="699"/>
        <v>46303</v>
      </c>
      <c r="CO69" s="53">
        <f t="shared" si="699"/>
        <v>46304</v>
      </c>
      <c r="CP69" s="51">
        <f t="shared" si="61"/>
        <v>46307</v>
      </c>
      <c r="CQ69" s="52">
        <f t="shared" si="700"/>
        <v>46308</v>
      </c>
      <c r="CR69" s="52">
        <f t="shared" si="700"/>
        <v>46309</v>
      </c>
      <c r="CS69" s="52">
        <f t="shared" si="700"/>
        <v>46310</v>
      </c>
      <c r="CT69" s="53">
        <f t="shared" si="700"/>
        <v>46311</v>
      </c>
      <c r="CU69" s="51">
        <f t="shared" si="35"/>
        <v>46314</v>
      </c>
      <c r="CV69" s="52">
        <f t="shared" si="701"/>
        <v>46315</v>
      </c>
      <c r="CW69" s="52">
        <f t="shared" si="701"/>
        <v>46316</v>
      </c>
      <c r="CX69" s="52">
        <f t="shared" si="701"/>
        <v>46317</v>
      </c>
      <c r="CY69" s="53">
        <f t="shared" si="701"/>
        <v>46318</v>
      </c>
      <c r="CZ69" s="51">
        <f t="shared" si="37"/>
        <v>46321</v>
      </c>
      <c r="DA69" s="52">
        <f t="shared" si="702"/>
        <v>46322</v>
      </c>
      <c r="DB69" s="52">
        <f t="shared" si="702"/>
        <v>46323</v>
      </c>
      <c r="DC69" s="52">
        <f t="shared" si="702"/>
        <v>46324</v>
      </c>
      <c r="DD69" s="53">
        <f t="shared" si="702"/>
        <v>46325</v>
      </c>
      <c r="DE69" s="51">
        <f t="shared" si="39"/>
        <v>46328</v>
      </c>
      <c r="DF69" s="52">
        <f t="shared" si="703"/>
        <v>46329</v>
      </c>
      <c r="DG69" s="52">
        <f t="shared" si="703"/>
        <v>46330</v>
      </c>
      <c r="DH69" s="52">
        <f t="shared" si="703"/>
        <v>46331</v>
      </c>
      <c r="DI69" s="53">
        <f t="shared" si="703"/>
        <v>46332</v>
      </c>
      <c r="DJ69" s="51">
        <f t="shared" si="41"/>
        <v>46335</v>
      </c>
      <c r="DK69" s="52">
        <f t="shared" si="704"/>
        <v>46336</v>
      </c>
      <c r="DL69" s="52">
        <f t="shared" si="704"/>
        <v>46337</v>
      </c>
      <c r="DM69" s="52">
        <f t="shared" si="704"/>
        <v>46338</v>
      </c>
      <c r="DN69" s="53">
        <f t="shared" si="704"/>
        <v>46339</v>
      </c>
      <c r="DO69" s="51">
        <f t="shared" si="43"/>
        <v>46342</v>
      </c>
      <c r="DP69" s="52">
        <f t="shared" si="705"/>
        <v>46343</v>
      </c>
      <c r="DQ69" s="52">
        <f t="shared" si="705"/>
        <v>46344</v>
      </c>
      <c r="DR69" s="52">
        <f t="shared" si="705"/>
        <v>46345</v>
      </c>
      <c r="DS69" s="53">
        <f t="shared" si="705"/>
        <v>46346</v>
      </c>
      <c r="DT69" s="51">
        <f t="shared" si="45"/>
        <v>46349</v>
      </c>
      <c r="DU69" s="52">
        <f t="shared" si="706"/>
        <v>46350</v>
      </c>
      <c r="DV69" s="52">
        <f t="shared" si="706"/>
        <v>46351</v>
      </c>
      <c r="DW69" s="52">
        <f t="shared" si="706"/>
        <v>46352</v>
      </c>
      <c r="DX69" s="53">
        <f t="shared" si="706"/>
        <v>46353</v>
      </c>
      <c r="DY69" s="51">
        <f t="shared" si="47"/>
        <v>46356</v>
      </c>
      <c r="DZ69" s="52">
        <f t="shared" si="707"/>
        <v>46357</v>
      </c>
      <c r="EA69" s="52">
        <f t="shared" si="707"/>
        <v>46358</v>
      </c>
      <c r="EB69" s="52">
        <f t="shared" si="707"/>
        <v>46359</v>
      </c>
      <c r="EC69" s="53">
        <f t="shared" si="707"/>
        <v>46360</v>
      </c>
      <c r="ED69" s="51">
        <f t="shared" si="49"/>
        <v>46363</v>
      </c>
      <c r="EE69" s="52">
        <f t="shared" si="708"/>
        <v>46364</v>
      </c>
      <c r="EF69" s="52">
        <f t="shared" si="708"/>
        <v>46365</v>
      </c>
      <c r="EG69" s="52">
        <f t="shared" si="708"/>
        <v>46366</v>
      </c>
      <c r="EH69" s="53">
        <f t="shared" si="708"/>
        <v>46367</v>
      </c>
      <c r="EI69" s="51">
        <f t="shared" si="51"/>
        <v>46370</v>
      </c>
      <c r="EJ69" s="52">
        <f t="shared" si="709"/>
        <v>46371</v>
      </c>
      <c r="EK69" s="52">
        <f t="shared" si="709"/>
        <v>46372</v>
      </c>
      <c r="EL69" s="52">
        <f t="shared" si="709"/>
        <v>46373</v>
      </c>
      <c r="EM69" s="53">
        <f t="shared" si="709"/>
        <v>46374</v>
      </c>
      <c r="EN69" s="51">
        <f t="shared" si="53"/>
        <v>46377</v>
      </c>
      <c r="EO69" s="52">
        <f t="shared" si="710"/>
        <v>46378</v>
      </c>
      <c r="EP69" s="52">
        <f t="shared" si="710"/>
        <v>46379</v>
      </c>
      <c r="EQ69" s="52">
        <f t="shared" si="710"/>
        <v>46380</v>
      </c>
      <c r="ER69" s="53">
        <f t="shared" si="710"/>
        <v>46381</v>
      </c>
      <c r="ES69" s="51">
        <f t="shared" si="55"/>
        <v>46384</v>
      </c>
      <c r="ET69" s="52">
        <f t="shared" si="711"/>
        <v>46385</v>
      </c>
      <c r="EU69" s="52">
        <f t="shared" si="711"/>
        <v>46386</v>
      </c>
      <c r="EV69" s="52">
        <f t="shared" si="711"/>
        <v>46387</v>
      </c>
      <c r="EW69" s="53">
        <f t="shared" si="711"/>
        <v>46388</v>
      </c>
      <c r="EX69" s="51">
        <f t="shared" si="57"/>
        <v>46391</v>
      </c>
      <c r="EY69" s="52">
        <f t="shared" si="655"/>
        <v>46392</v>
      </c>
      <c r="EZ69" s="52">
        <f t="shared" si="655"/>
        <v>46393</v>
      </c>
      <c r="FA69" s="52">
        <f t="shared" si="655"/>
        <v>46394</v>
      </c>
      <c r="FB69" s="53">
        <f t="shared" si="655"/>
        <v>46395</v>
      </c>
    </row>
    <row r="70" spans="1:158" ht="17.25" customHeight="1" outlineLevel="2">
      <c r="A70" s="61"/>
      <c r="B70" s="62"/>
      <c r="C70" s="62"/>
      <c r="D70" s="81" t="s">
        <v>98</v>
      </c>
      <c r="E70" s="82"/>
      <c r="F70" s="83"/>
      <c r="G70" s="84" t="s">
        <v>18</v>
      </c>
      <c r="H70" s="84"/>
      <c r="I70" s="84"/>
      <c r="J70" s="85"/>
      <c r="K70" s="86"/>
      <c r="L70" s="87"/>
      <c r="M70" s="88">
        <v>46377</v>
      </c>
      <c r="N70" s="89">
        <v>46387</v>
      </c>
      <c r="O70" s="90">
        <f>8/132/3</f>
        <v>2.0202020202020204E-2</v>
      </c>
      <c r="P70" s="90"/>
      <c r="Q70" s="91"/>
      <c r="R70" s="90"/>
      <c r="S70" s="78">
        <f t="shared" si="30"/>
        <v>46202</v>
      </c>
      <c r="T70" s="79">
        <f t="shared" ref="T70:W70" si="712">S70+1</f>
        <v>46203</v>
      </c>
      <c r="U70" s="79">
        <f t="shared" si="712"/>
        <v>46204</v>
      </c>
      <c r="V70" s="79">
        <f t="shared" si="712"/>
        <v>46205</v>
      </c>
      <c r="W70" s="80">
        <f t="shared" si="712"/>
        <v>46206</v>
      </c>
      <c r="X70" s="78">
        <v>46209</v>
      </c>
      <c r="Y70" s="79">
        <v>46210</v>
      </c>
      <c r="Z70" s="79">
        <v>46211</v>
      </c>
      <c r="AA70" s="79">
        <v>46212</v>
      </c>
      <c r="AB70" s="80">
        <v>46213</v>
      </c>
      <c r="AC70" s="78">
        <v>46216</v>
      </c>
      <c r="AD70" s="79">
        <v>46217</v>
      </c>
      <c r="AE70" s="79">
        <v>46218</v>
      </c>
      <c r="AF70" s="79">
        <v>46219</v>
      </c>
      <c r="AG70" s="80">
        <v>46220</v>
      </c>
      <c r="AH70" s="78">
        <v>46223</v>
      </c>
      <c r="AI70" s="79">
        <v>46224</v>
      </c>
      <c r="AJ70" s="79">
        <v>46225</v>
      </c>
      <c r="AK70" s="79">
        <v>46226</v>
      </c>
      <c r="AL70" s="80">
        <v>46227</v>
      </c>
      <c r="AM70" s="78">
        <v>46230</v>
      </c>
      <c r="AN70" s="79">
        <v>46231</v>
      </c>
      <c r="AO70" s="79">
        <v>46232</v>
      </c>
      <c r="AP70" s="79">
        <v>46233</v>
      </c>
      <c r="AQ70" s="80">
        <v>46234</v>
      </c>
      <c r="AR70" s="78">
        <v>46237</v>
      </c>
      <c r="AS70" s="79">
        <v>46238</v>
      </c>
      <c r="AT70" s="79">
        <v>46239</v>
      </c>
      <c r="AU70" s="79">
        <v>46240</v>
      </c>
      <c r="AV70" s="80">
        <v>46241</v>
      </c>
      <c r="AW70" s="78">
        <v>46244</v>
      </c>
      <c r="AX70" s="79">
        <v>46245</v>
      </c>
      <c r="AY70" s="79">
        <v>46246</v>
      </c>
      <c r="AZ70" s="79">
        <v>46247</v>
      </c>
      <c r="BA70" s="80">
        <v>46248</v>
      </c>
      <c r="BB70" s="78">
        <v>46251</v>
      </c>
      <c r="BC70" s="79">
        <v>46252</v>
      </c>
      <c r="BD70" s="79">
        <v>46253</v>
      </c>
      <c r="BE70" s="79">
        <v>46254</v>
      </c>
      <c r="BF70" s="80">
        <v>46255</v>
      </c>
      <c r="BG70" s="78">
        <v>46258</v>
      </c>
      <c r="BH70" s="79">
        <v>46259</v>
      </c>
      <c r="BI70" s="79">
        <v>46260</v>
      </c>
      <c r="BJ70" s="79">
        <v>46261</v>
      </c>
      <c r="BK70" s="80">
        <v>46262</v>
      </c>
      <c r="BL70" s="78">
        <v>46265</v>
      </c>
      <c r="BM70" s="79">
        <v>46266</v>
      </c>
      <c r="BN70" s="79">
        <v>46267</v>
      </c>
      <c r="BO70" s="79">
        <v>46268</v>
      </c>
      <c r="BP70" s="80">
        <v>46269</v>
      </c>
      <c r="BQ70" s="78">
        <v>46272</v>
      </c>
      <c r="BR70" s="79">
        <v>46273</v>
      </c>
      <c r="BS70" s="79">
        <v>46274</v>
      </c>
      <c r="BT70" s="79">
        <v>46275</v>
      </c>
      <c r="BU70" s="80">
        <v>46276</v>
      </c>
      <c r="BV70" s="78">
        <v>46279</v>
      </c>
      <c r="BW70" s="79">
        <v>46280</v>
      </c>
      <c r="BX70" s="79">
        <v>46281</v>
      </c>
      <c r="BY70" s="79">
        <v>46282</v>
      </c>
      <c r="BZ70" s="80">
        <v>46283</v>
      </c>
      <c r="CA70" s="78">
        <v>46286</v>
      </c>
      <c r="CB70" s="79">
        <v>46287</v>
      </c>
      <c r="CC70" s="79">
        <v>46288</v>
      </c>
      <c r="CD70" s="79">
        <v>46289</v>
      </c>
      <c r="CE70" s="80">
        <v>46290</v>
      </c>
      <c r="CF70" s="78">
        <v>46293</v>
      </c>
      <c r="CG70" s="79">
        <v>46294</v>
      </c>
      <c r="CH70" s="79">
        <v>46295</v>
      </c>
      <c r="CI70" s="79">
        <v>46296</v>
      </c>
      <c r="CJ70" s="80">
        <v>46297</v>
      </c>
      <c r="CK70" s="78">
        <f t="shared" si="32"/>
        <v>46300</v>
      </c>
      <c r="CL70" s="79">
        <f t="shared" ref="CL70:CO70" si="713">CK70+1</f>
        <v>46301</v>
      </c>
      <c r="CM70" s="79">
        <f t="shared" si="713"/>
        <v>46302</v>
      </c>
      <c r="CN70" s="79">
        <f t="shared" si="713"/>
        <v>46303</v>
      </c>
      <c r="CO70" s="80">
        <f t="shared" si="713"/>
        <v>46304</v>
      </c>
      <c r="CP70" s="78">
        <f t="shared" si="61"/>
        <v>46307</v>
      </c>
      <c r="CQ70" s="79">
        <f t="shared" ref="CQ70:CT70" si="714">CP70+1</f>
        <v>46308</v>
      </c>
      <c r="CR70" s="79">
        <f t="shared" si="714"/>
        <v>46309</v>
      </c>
      <c r="CS70" s="79">
        <f t="shared" si="714"/>
        <v>46310</v>
      </c>
      <c r="CT70" s="80">
        <f t="shared" si="714"/>
        <v>46311</v>
      </c>
      <c r="CU70" s="78">
        <f t="shared" si="35"/>
        <v>46314</v>
      </c>
      <c r="CV70" s="79">
        <f t="shared" ref="CV70:CY70" si="715">CU70+1</f>
        <v>46315</v>
      </c>
      <c r="CW70" s="79">
        <f t="shared" si="715"/>
        <v>46316</v>
      </c>
      <c r="CX70" s="79">
        <f t="shared" si="715"/>
        <v>46317</v>
      </c>
      <c r="CY70" s="80">
        <f t="shared" si="715"/>
        <v>46318</v>
      </c>
      <c r="CZ70" s="78">
        <f t="shared" si="37"/>
        <v>46321</v>
      </c>
      <c r="DA70" s="79">
        <f t="shared" ref="DA70:DD70" si="716">CZ70+1</f>
        <v>46322</v>
      </c>
      <c r="DB70" s="79">
        <f t="shared" si="716"/>
        <v>46323</v>
      </c>
      <c r="DC70" s="79">
        <f t="shared" si="716"/>
        <v>46324</v>
      </c>
      <c r="DD70" s="80">
        <f t="shared" si="716"/>
        <v>46325</v>
      </c>
      <c r="DE70" s="78">
        <f t="shared" si="39"/>
        <v>46328</v>
      </c>
      <c r="DF70" s="79">
        <f t="shared" ref="DF70:DI70" si="717">DE70+1</f>
        <v>46329</v>
      </c>
      <c r="DG70" s="79">
        <f t="shared" si="717"/>
        <v>46330</v>
      </c>
      <c r="DH70" s="79">
        <f t="shared" si="717"/>
        <v>46331</v>
      </c>
      <c r="DI70" s="80">
        <f t="shared" si="717"/>
        <v>46332</v>
      </c>
      <c r="DJ70" s="78">
        <f t="shared" si="41"/>
        <v>46335</v>
      </c>
      <c r="DK70" s="79">
        <f t="shared" ref="DK70:DN70" si="718">DJ70+1</f>
        <v>46336</v>
      </c>
      <c r="DL70" s="79">
        <f t="shared" si="718"/>
        <v>46337</v>
      </c>
      <c r="DM70" s="79">
        <f t="shared" si="718"/>
        <v>46338</v>
      </c>
      <c r="DN70" s="80">
        <f t="shared" si="718"/>
        <v>46339</v>
      </c>
      <c r="DO70" s="78">
        <f t="shared" si="43"/>
        <v>46342</v>
      </c>
      <c r="DP70" s="79">
        <f t="shared" ref="DP70:DS70" si="719">DO70+1</f>
        <v>46343</v>
      </c>
      <c r="DQ70" s="79">
        <f t="shared" si="719"/>
        <v>46344</v>
      </c>
      <c r="DR70" s="79">
        <f t="shared" si="719"/>
        <v>46345</v>
      </c>
      <c r="DS70" s="80">
        <f t="shared" si="719"/>
        <v>46346</v>
      </c>
      <c r="DT70" s="78">
        <f t="shared" si="45"/>
        <v>46349</v>
      </c>
      <c r="DU70" s="79">
        <f t="shared" ref="DU70:DX70" si="720">DT70+1</f>
        <v>46350</v>
      </c>
      <c r="DV70" s="79">
        <f t="shared" si="720"/>
        <v>46351</v>
      </c>
      <c r="DW70" s="79">
        <f t="shared" si="720"/>
        <v>46352</v>
      </c>
      <c r="DX70" s="80">
        <f t="shared" si="720"/>
        <v>46353</v>
      </c>
      <c r="DY70" s="78">
        <f t="shared" si="47"/>
        <v>46356</v>
      </c>
      <c r="DZ70" s="79">
        <f t="shared" ref="DZ70:EC70" si="721">DY70+1</f>
        <v>46357</v>
      </c>
      <c r="EA70" s="79">
        <f t="shared" si="721"/>
        <v>46358</v>
      </c>
      <c r="EB70" s="79">
        <f t="shared" si="721"/>
        <v>46359</v>
      </c>
      <c r="EC70" s="80">
        <f t="shared" si="721"/>
        <v>46360</v>
      </c>
      <c r="ED70" s="78">
        <f t="shared" si="49"/>
        <v>46363</v>
      </c>
      <c r="EE70" s="79">
        <f t="shared" ref="EE70:EH70" si="722">ED70+1</f>
        <v>46364</v>
      </c>
      <c r="EF70" s="79">
        <f t="shared" si="722"/>
        <v>46365</v>
      </c>
      <c r="EG70" s="79">
        <f t="shared" si="722"/>
        <v>46366</v>
      </c>
      <c r="EH70" s="80">
        <f t="shared" si="722"/>
        <v>46367</v>
      </c>
      <c r="EI70" s="78">
        <f t="shared" si="51"/>
        <v>46370</v>
      </c>
      <c r="EJ70" s="79">
        <f t="shared" ref="EJ70:EM70" si="723">EI70+1</f>
        <v>46371</v>
      </c>
      <c r="EK70" s="79">
        <f t="shared" si="723"/>
        <v>46372</v>
      </c>
      <c r="EL70" s="79">
        <f t="shared" si="723"/>
        <v>46373</v>
      </c>
      <c r="EM70" s="80">
        <f t="shared" si="723"/>
        <v>46374</v>
      </c>
      <c r="EN70" s="78">
        <f t="shared" si="53"/>
        <v>46377</v>
      </c>
      <c r="EO70" s="79">
        <f t="shared" ref="EO70:ER70" si="724">EN70+1</f>
        <v>46378</v>
      </c>
      <c r="EP70" s="79">
        <f t="shared" si="724"/>
        <v>46379</v>
      </c>
      <c r="EQ70" s="79">
        <f t="shared" si="724"/>
        <v>46380</v>
      </c>
      <c r="ER70" s="80">
        <f t="shared" si="724"/>
        <v>46381</v>
      </c>
      <c r="ES70" s="78">
        <f t="shared" si="55"/>
        <v>46384</v>
      </c>
      <c r="ET70" s="79">
        <f t="shared" ref="ET70:EW70" si="725">ES70+1</f>
        <v>46385</v>
      </c>
      <c r="EU70" s="79">
        <f t="shared" si="725"/>
        <v>46386</v>
      </c>
      <c r="EV70" s="79">
        <f t="shared" si="725"/>
        <v>46387</v>
      </c>
      <c r="EW70" s="80">
        <f t="shared" si="725"/>
        <v>46388</v>
      </c>
      <c r="EX70" s="78">
        <f t="shared" si="57"/>
        <v>46391</v>
      </c>
      <c r="EY70" s="79">
        <f>EX68+1</f>
        <v>46392</v>
      </c>
      <c r="EZ70" s="79">
        <f>EY68+1</f>
        <v>46393</v>
      </c>
      <c r="FA70" s="79">
        <f>EZ68+1</f>
        <v>46394</v>
      </c>
      <c r="FB70" s="80">
        <f>FA68+1</f>
        <v>46395</v>
      </c>
    </row>
    <row r="72" spans="1:158">
      <c r="O72" s="7">
        <f>O4+O13+O30+O53+O63</f>
        <v>0.99998057498057502</v>
      </c>
    </row>
  </sheetData>
  <mergeCells count="76">
    <mergeCell ref="AR3:AV3"/>
    <mergeCell ref="CK3:CO3"/>
    <mergeCell ref="BB2:BF2"/>
    <mergeCell ref="BB3:BF3"/>
    <mergeCell ref="BV3:BZ3"/>
    <mergeCell ref="CA3:CE3"/>
    <mergeCell ref="CF3:CJ3"/>
    <mergeCell ref="X3:AB3"/>
    <mergeCell ref="AC2:AG2"/>
    <mergeCell ref="AC3:AG3"/>
    <mergeCell ref="AH2:AL2"/>
    <mergeCell ref="AH3:AL3"/>
    <mergeCell ref="DY3:EC3"/>
    <mergeCell ref="CU3:CY3"/>
    <mergeCell ref="CZ3:DD3"/>
    <mergeCell ref="DE3:DI3"/>
    <mergeCell ref="A1:A2"/>
    <mergeCell ref="B1:B2"/>
    <mergeCell ref="C1:C2"/>
    <mergeCell ref="D1:D2"/>
    <mergeCell ref="F1:F2"/>
    <mergeCell ref="G1:J2"/>
    <mergeCell ref="M1:N2"/>
    <mergeCell ref="L1:L3"/>
    <mergeCell ref="K1:K3"/>
    <mergeCell ref="AM2:AQ2"/>
    <mergeCell ref="S1:AQ1"/>
    <mergeCell ref="X2:AB2"/>
    <mergeCell ref="CP3:CT3"/>
    <mergeCell ref="O1:R1"/>
    <mergeCell ref="O2:O3"/>
    <mergeCell ref="P2:P3"/>
    <mergeCell ref="Q2:Q3"/>
    <mergeCell ref="R2:R3"/>
    <mergeCell ref="S3:W3"/>
    <mergeCell ref="AM3:AQ3"/>
    <mergeCell ref="S2:W2"/>
    <mergeCell ref="CA2:CE2"/>
    <mergeCell ref="AW3:BA3"/>
    <mergeCell ref="BG3:BK3"/>
    <mergeCell ref="BL3:BP3"/>
    <mergeCell ref="BQ3:BU3"/>
    <mergeCell ref="BV2:BZ2"/>
    <mergeCell ref="CF2:CJ2"/>
    <mergeCell ref="EX2:FB2"/>
    <mergeCell ref="EX3:FB3"/>
    <mergeCell ref="DT3:DX3"/>
    <mergeCell ref="BG2:BK2"/>
    <mergeCell ref="BL2:BP2"/>
    <mergeCell ref="BQ2:BU2"/>
    <mergeCell ref="CU2:CY2"/>
    <mergeCell ref="CZ2:DD2"/>
    <mergeCell ref="DE2:DI2"/>
    <mergeCell ref="DJ2:DN2"/>
    <mergeCell ref="DO2:DS2"/>
    <mergeCell ref="DT2:DX2"/>
    <mergeCell ref="DY2:EC2"/>
    <mergeCell ref="DJ3:DN3"/>
    <mergeCell ref="DO3:DS3"/>
    <mergeCell ref="CK2:CO2"/>
    <mergeCell ref="ES2:EW2"/>
    <mergeCell ref="ES3:EW3"/>
    <mergeCell ref="AR1:BL1"/>
    <mergeCell ref="BM1:CH1"/>
    <mergeCell ref="CI1:DD1"/>
    <mergeCell ref="DE1:DY1"/>
    <mergeCell ref="DZ1:EV1"/>
    <mergeCell ref="ED2:EH2"/>
    <mergeCell ref="ED3:EH3"/>
    <mergeCell ref="EI2:EM2"/>
    <mergeCell ref="EI3:EM3"/>
    <mergeCell ref="EN2:ER2"/>
    <mergeCell ref="EN3:ER3"/>
    <mergeCell ref="CP2:CT2"/>
    <mergeCell ref="AR2:AV2"/>
    <mergeCell ref="AW2:BA2"/>
  </mergeCells>
  <phoneticPr fontId="2" type="noConversion"/>
  <conditionalFormatting sqref="S63:FB70 S4:FB26 S28:FB52">
    <cfRule type="cellIs" dxfId="5" priority="258" operator="between">
      <formula>$M4</formula>
      <formula>$N4</formula>
    </cfRule>
  </conditionalFormatting>
  <conditionalFormatting sqref="S53:FB62">
    <cfRule type="cellIs" dxfId="4" priority="4" operator="between">
      <formula>$M53</formula>
      <formula>$N53</formula>
    </cfRule>
  </conditionalFormatting>
  <conditionalFormatting sqref="S27:FB27">
    <cfRule type="cellIs" dxfId="3" priority="2" operator="between">
      <formula>$M27</formula>
      <formula>$N27</formula>
    </cfRule>
  </conditionalFormatting>
  <pageMargins left="0.43307086614173229" right="0.51181102362204722" top="0.35433070866141736" bottom="0.35433070866141736" header="0.31496062992125984" footer="0.31496062992125984"/>
  <pageSetup paperSize="9" scale="70" orientation="landscape" r:id="rId1"/>
  <ignoredErrors>
    <ignoredError sqref="CP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7" id="{0CBB608B-CAFF-4972-B212-DE16A35640FA}">
            <xm:f>IF(COUNTIF(Holiday!$A$2:$A$35,S4)&gt;0,TRUE,FALSE)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S63:FB70 S4:FB26 S28:FB52</xm:sqref>
        </x14:conditionalFormatting>
        <x14:conditionalFormatting xmlns:xm="http://schemas.microsoft.com/office/excel/2006/main">
          <x14:cfRule type="expression" priority="3" id="{0F6EA003-CD8D-4786-918C-8F11EDD3142B}">
            <xm:f>IF(COUNTIF(Holiday!$A$2:$A$35,S53)&gt;0,TRUE,FALSE)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S53:FB62</xm:sqref>
        </x14:conditionalFormatting>
        <x14:conditionalFormatting xmlns:xm="http://schemas.microsoft.com/office/excel/2006/main">
          <x14:cfRule type="expression" priority="1" id="{3C952715-5F7A-414F-8167-5759B0183A62}">
            <xm:f>IF(COUNTIF(Holiday!$A$2:$A$35,S27)&gt;0,TRUE,FALSE)</xm:f>
            <x14:dxf>
              <fill>
                <patternFill>
                  <bgColor theme="0" tint="-0.24994659260841701"/>
                </patternFill>
              </fill>
            </x14:dxf>
          </x14:cfRule>
          <xm:sqref>S27:FB27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ColWidth="9.140625" defaultRowHeight="13.5"/>
  <cols>
    <col min="1" max="1" width="11.28515625" style="16" bestFit="1" customWidth="1"/>
    <col min="2" max="16384" width="9.140625" style="16"/>
  </cols>
  <sheetData>
    <row r="1" spans="1:2">
      <c r="A1" s="16" t="s">
        <v>28</v>
      </c>
    </row>
    <row r="2" spans="1:2">
      <c r="A2" s="18">
        <v>46220</v>
      </c>
      <c r="B2" s="18" t="s">
        <v>49</v>
      </c>
    </row>
    <row r="3" spans="1:2">
      <c r="A3" s="18">
        <v>46226</v>
      </c>
      <c r="B3" s="18" t="s">
        <v>127</v>
      </c>
    </row>
    <row r="4" spans="1:2">
      <c r="A4" s="18">
        <v>46227</v>
      </c>
      <c r="B4" s="18" t="s">
        <v>127</v>
      </c>
    </row>
    <row r="5" spans="1:2">
      <c r="A5" s="18">
        <v>46251</v>
      </c>
      <c r="B5" s="18" t="s">
        <v>50</v>
      </c>
    </row>
    <row r="6" spans="1:2">
      <c r="A6" s="18">
        <v>46289</v>
      </c>
      <c r="B6" s="19" t="s">
        <v>29</v>
      </c>
    </row>
    <row r="7" spans="1:2">
      <c r="A7" s="18">
        <v>46290</v>
      </c>
      <c r="B7" s="19" t="s">
        <v>29</v>
      </c>
    </row>
    <row r="8" spans="1:2">
      <c r="A8" s="18">
        <v>46300</v>
      </c>
      <c r="B8" s="19" t="s">
        <v>51</v>
      </c>
    </row>
    <row r="9" spans="1:2">
      <c r="A9" s="18">
        <v>46304</v>
      </c>
      <c r="B9" s="19" t="s">
        <v>30</v>
      </c>
    </row>
    <row r="10" spans="1:2">
      <c r="A10" s="18">
        <v>46381</v>
      </c>
      <c r="B10" s="19" t="s">
        <v>52</v>
      </c>
    </row>
    <row r="11" spans="1:2">
      <c r="A11" s="18"/>
      <c r="B11" s="19"/>
    </row>
    <row r="12" spans="1:2">
      <c r="A12" s="18"/>
      <c r="B12" s="19"/>
    </row>
    <row r="13" spans="1:2">
      <c r="A13" s="18"/>
      <c r="B13" s="19"/>
    </row>
    <row r="14" spans="1:2">
      <c r="A14" s="18"/>
      <c r="B14" s="19"/>
    </row>
    <row r="15" spans="1:2">
      <c r="A15" s="18"/>
      <c r="B15" s="19"/>
    </row>
    <row r="16" spans="1:2">
      <c r="A16" s="18"/>
      <c r="B16" s="19"/>
    </row>
    <row r="17" spans="1:4">
      <c r="A17" s="18"/>
      <c r="B17" s="19"/>
    </row>
    <row r="18" spans="1:4">
      <c r="A18" s="18"/>
      <c r="B18" s="19"/>
    </row>
    <row r="19" spans="1:4">
      <c r="A19" s="18"/>
      <c r="B19" s="19"/>
    </row>
    <row r="20" spans="1:4">
      <c r="A20" s="18"/>
      <c r="B20" s="19"/>
    </row>
    <row r="21" spans="1:4">
      <c r="A21" s="18"/>
      <c r="B21" s="19"/>
    </row>
    <row r="22" spans="1:4">
      <c r="A22" s="18"/>
      <c r="B22" s="19"/>
    </row>
    <row r="23" spans="1:4">
      <c r="A23" s="18"/>
      <c r="B23" s="19"/>
    </row>
    <row r="24" spans="1:4">
      <c r="A24" s="18"/>
      <c r="B24" s="19"/>
      <c r="D24" s="17"/>
    </row>
    <row r="25" spans="1:4">
      <c r="A25" s="18"/>
      <c r="B25" s="19"/>
    </row>
    <row r="26" spans="1:4">
      <c r="A26" s="18"/>
      <c r="B26" s="19"/>
    </row>
    <row r="27" spans="1:4">
      <c r="A27" s="18"/>
      <c r="B27" s="19"/>
    </row>
    <row r="28" spans="1:4">
      <c r="A28" s="18"/>
      <c r="B28" s="19"/>
    </row>
    <row r="29" spans="1:4">
      <c r="A29" s="18"/>
      <c r="B29" s="19"/>
    </row>
    <row r="30" spans="1:4">
      <c r="A30" s="19"/>
      <c r="B30" s="19"/>
    </row>
    <row r="31" spans="1:4">
      <c r="A31" s="19"/>
      <c r="B31" s="19"/>
    </row>
    <row r="32" spans="1:4">
      <c r="A32" s="19"/>
      <c r="B32" s="19"/>
    </row>
    <row r="33" spans="1:2">
      <c r="A33" s="19"/>
      <c r="B33" s="19"/>
    </row>
    <row r="34" spans="1:2">
      <c r="A34" s="19"/>
      <c r="B34" s="19"/>
    </row>
    <row r="35" spans="1:2">
      <c r="A35" s="19"/>
      <c r="B35" s="19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WBS</vt:lpstr>
      <vt:lpstr>Holiday</vt:lpstr>
      <vt:lpstr>WBS!Print_Area</vt:lpstr>
      <vt:lpstr>WBS!Print_Titles</vt:lpstr>
    </vt:vector>
  </TitlesOfParts>
  <Manager/>
  <Company>Ernst &amp; Young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Tong-Keun Lee</dc:creator>
  <cp:keywords/>
  <dc:description/>
  <cp:lastModifiedBy>DKSYSTEMS</cp:lastModifiedBy>
  <cp:revision/>
  <dcterms:created xsi:type="dcterms:W3CDTF">2011-12-20T00:49:07Z</dcterms:created>
  <dcterms:modified xsi:type="dcterms:W3CDTF">2026-07-05T23:53:31Z</dcterms:modified>
  <cp:category/>
  <cp:contentStatus/>
</cp:coreProperties>
</file>